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emf" ContentType="image/x-emf"/>
  <Default Extension="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comments1.xml" ContentType="application/vnd.openxmlformats-officedocument.spreadsheetml.comments+xml"/>
  <Override PartName="/xl/connections.xml" ContentType="application/vnd.openxmlformats-officedocument.spreadsheetml.connection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5" Type="http://schemas.microsoft.com/office/2006/relationships/ui/userCustomization" Target="userCustomization/customUI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375" tabRatio="823" activeTab="3"/>
  </bookViews>
  <sheets>
    <sheet name="单位信息" sheetId="33" r:id="rId1"/>
    <sheet name="科目代码" sheetId="3" r:id="rId2"/>
    <sheet name="编制凭证" sheetId="31" r:id="rId3"/>
    <sheet name="凭证库" sheetId="5" r:id="rId4"/>
    <sheet name="资产负债表" sheetId="8" r:id="rId5"/>
    <sheet name="损益表" sheetId="9" r:id="rId6"/>
    <sheet name="总账" sheetId="17" r:id="rId7"/>
    <sheet name="明细分类账" sheetId="36" r:id="rId8"/>
    <sheet name="明细账" sheetId="10" r:id="rId9"/>
    <sheet name="增税明" sheetId="21" r:id="rId10"/>
    <sheet name="数据" sheetId="11" r:id="rId11"/>
    <sheet name="计算税款" sheetId="32" r:id="rId12"/>
    <sheet name="明细账打印" sheetId="34" state="hidden" r:id="rId13"/>
    <sheet name="筛选" sheetId="35" r:id="rId14"/>
    <sheet name="维保" sheetId="37" r:id="rId15"/>
  </sheets>
  <definedNames>
    <definedName name="_xlnm._FilterDatabase" localSheetId="3" hidden="1">凭证库!$A$1:$N$1400</definedName>
    <definedName name="_xlnm.Criteria" localSheetId="13">筛选!$A$1:$N$2</definedName>
    <definedName name="_xlnm.Extract" localSheetId="13">筛选!$A$5:$N$5</definedName>
    <definedName name="_xlnm.Print_Area" localSheetId="2">编制凭证!$B$4:$J$16</definedName>
    <definedName name="_xlnm.Print_Area" localSheetId="8">明细账!#REF!</definedName>
    <definedName name="_xlnm.Print_Area" localSheetId="10">数据!$O$3:$O$28</definedName>
    <definedName name="_xlnm.Print_Area" localSheetId="4">资产负债表!$B$2:$I$38</definedName>
    <definedName name="查询来自_Excel_Files" localSheetId="10" hidden="1">数据!$G$4:$H$32</definedName>
    <definedName name="查询来自_Excel_Files" localSheetId="9" hidden="1">增税明!$A$7:$G$36</definedName>
    <definedName name="查询来自_Excel_Files_1" localSheetId="7" hidden="1">明细分类账!$A$5:$C$19</definedName>
    <definedName name="查询来自_Excel_Files_1" localSheetId="8" hidden="1">明细账!$B$7:$J$34</definedName>
    <definedName name="查询来自_Excel_Files_1" localSheetId="10" hidden="1">数据!$K$4:$L$132</definedName>
    <definedName name="查询来自_Excel_Files_2" localSheetId="10" hidden="1">数据!$N$1:$O$29</definedName>
    <definedName name="查询来自_Excel_Files_3" localSheetId="6" hidden="1">总账!$J$2:$L$3</definedName>
    <definedName name="查询来自_开发_2" localSheetId="10" hidden="1">数据!$A$4:$B$20</definedName>
    <definedName name="查询来自_开发_3" localSheetId="10" hidden="1">数据!$D$4:$E$29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A2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有颜色的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列必填</t>
        </r>
      </text>
    </comment>
  </commentList>
</comments>
</file>

<file path=xl/connections.xml><?xml version="1.0" encoding="utf-8"?>
<connections xmlns="http://schemas.openxmlformats.org/spreadsheetml/2006/main">
  <connection id="1" sourceFile="I:\开发\华军电梯公司.xlsm" name="华军电梯公司" type="5" background="1" refreshedVersion="2" saveData="1">
    <dbPr connection="Provider=Microsoft.ACE.OLEDB.12.0;Password=&quot;&quot;;User ID=Admin;Data Source=I:\开发\华军电梯公司.xlsm;Mode=Share Deny Write;Extended Properties=&quot;HDR=YES;&quot;;Jet OLEDB:System database=&quot;&quot;;Jet OLEDB:Registry Path=&quot;&quot;;Jet OLEDB:Database Password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凭证库$" commandType="4"/>
  </connection>
  <connection id="2" name="查询来自 Excel Files" type="1" background="1" refreshedVersion="2" saveData="1">
    <dbPr connection="DSN=Excel Files;DBQ=I:\开发系统\15年模板.xlsm;DefaultDir=I:\开发系统;DriverId=1046;MaxBufferSize=2048;PageTimeout=5;" command="SELECT `凭证库$`.月, `凭证库$`.日, `凭证库$`.凭证号, `凭证库$`.摘要, `凭证库$`.数量, `凭证库$`.单价, `凭证库$`.借金额, `凭证库$`.一, `凭证库$`.贷金额&#13;&#10;FROM `凭证库$` `凭证库$`&#13;&#10;WHERE (`凭证库$`.科目代码=?)&#13;&#10;ORDER BY `凭证库$`.月, `凭证库$`.凭证号" commandType="2"/>
  </connection>
  <connection id="3" name="查询来自 Excel Files1" type="1" background="1" refreshedVersion="2" saveData="1">
    <dbPr connection="DSN=Excel Files;DBQ=I:\开发系统\15年模板.xlsm;DefaultDir=I:\开发系统;DriverId=1046;MaxBufferSize=2048;PageTimeout=5;" command="SELECT left(科目代码,4), `科目代码$`.总账科目&#13;&#10;FROM `科目代码$` `科目代码$`&#13;&#10;GROUP BY left(科目代码,4), `科目代码$`.总账科目" commandType="2"/>
  </connection>
  <connection id="4" name="查询来自 Excel Files2" type="1" background="1" refreshedVersion="2" saveData="1">
    <dbPr connection="DSN=Excel Files;DBQ=I:\开发系统\15年模板.xlsm;DefaultDir=I:\开发系统;DriverId=1046;MaxBufferSize=2048;PageTimeout=5;" command="SELECT `凭证库$`.科目代码, `凭证库$`.月, `凭证库$`.日, `凭证库$`.凭证号, `凭证库$`.摘要, `凭证库$`.借金额, `凭证库$`.贷金额&#13;&#10;FROM `凭证库$` `凭证库$`&#13;&#10;WHERE (left(科目代码,5)=22212)&#13;&#10;ORDER BY `凭证库$`.月, `凭证库$`.凭证号" commandType="2"/>
  </connection>
  <connection id="5" name="查询来自 Excel Files3" type="1" background="1" refreshedVersion="2" saveData="1">
    <dbPr connection="DSN=Excel Files;DBQ=I:\开发系统\15年模板.xlsm;DefaultDir=I:\开发系统;DriverId=1046;MaxBufferSize=2048;PageTimeout=5;" command="SELECT `凭证库$`.科目代码, Sum(借金额-贷金额) AS '借贷发生额'&#13;&#10;FROM `凭证库$` `凭证库$`&#13;&#10;GROUP BY `凭证库$`.科目代码" commandType="2"/>
  </connection>
  <connection id="6" name="查询来自 Excel Files311" type="1" background="1" refreshedVersion="2" saveData="1">
    <dbPr connection="DSN=Excel Files;DBQ=I:\开发系统\15年模板.xlsm;DefaultDir=I:\开发系统;DriverId=1046;MaxBufferSize=2048;PageTimeout=5;" command="SELECT `科目代码$`.科目代码, `科目代码$`.明细科目, `科目代码$`.年初数&#13;&#10;FROM `科目代码$` `科目代码$`&#13;&#10;WHERE (left(科目代码,4)=?)" commandType="2"/>
  </connection>
  <connection id="7" name="查询来自 Excel Files4" type="1" background="1" refreshedVersion="2" saveData="1">
    <dbPr connection="DSN=Excel Files;DBQ=I:\开发系统\15年模板.xlsm;DefaultDir=I:\开发系统;DriverId=1046;MaxBufferSize=2048;PageTimeout=5;" command="SELECT `科目代码$`.科目代码, `科目代码$`.明细科目, `科目代码$`.年初数&#13;&#10;FROM `科目代码$` `科目代码$`&#13;&#10;WHERE (left(科目代码,4)=?)" commandType="2"/>
  </connection>
  <connection id="8" name="查询来自 Excel Files5" type="1" background="1" refreshedVersion="2" saveData="1">
    <dbPr connection="DSN=Excel Files;DBQ=I:\开发系统\15年模板.xlsm;DefaultDir=I:\开发系统;DriverId=1046;MaxBufferSize=2048;PageTimeout=5;" command="SELECT left(科目代码,4) AS '科目代码', `科目代码$`.总账科目&#13;&#10;FROM `科目代码$` `科目代码$`&#13;&#10;GROUP BY left(科目代码,4), `科目代码$`.总账科目" commandType="2"/>
  </connection>
  <connection id="9" name="查询来自 开发" type="1" background="1" refreshedVersion="2" saveData="1">
    <dbPr connection="DSN=Excel Files;DBQ=I:\开发系统\15年模板.xlsm;DefaultDir=I:\开发系统;DriverId=1046;FIL=excel 12.0;MaxBufferSize=2048;PageTimeout=5;" command="SELECT left(科目代码,4) AS 'AB', Sum(性质*年初数) AS 'AC'&#13;&#10;FROM `科目代码$` `科目代码$`&#13;&#10;WHERE (`科目代码$`.年初数&lt;&gt;0)&#13;&#10;GROUP BY left(科目代码,4)" commandType="2"/>
  </connection>
  <connection id="10" name="查询来自 开发2" type="1" background="1" refreshedVersion="2" saveData="1">
    <dbPr connection="DSN=Excel Files;DBQ=I:\开发系统\15年模板.xlsm;DefaultDir=I:\开发系统;DriverId=1046;FIL=excel 12.0;MaxBufferSize=2048;PageTimeout=5;" command="SELECT left(科目代码,4) AS 'a', Sum(借金额-贷金额) AS 'F'&#13;&#10;FROM `凭证库$` `凭证库$`&#13;&#10;WHERE (`凭证库$`.年=?) AND (`凭证库$`.月&lt;=?)&#13;&#10;GROUP BY left(科目代码,4)" commandType="2"/>
  </connection>
</connections>
</file>

<file path=xl/sharedStrings.xml><?xml version="1.0" encoding="utf-8"?>
<sst xmlns="http://schemas.openxmlformats.org/spreadsheetml/2006/main" count="1331">
  <si>
    <t>单位信息</t>
  </si>
  <si>
    <t>A列有颜色必填</t>
  </si>
  <si>
    <t>年度</t>
  </si>
  <si>
    <t>属地</t>
  </si>
  <si>
    <t>镇江市新区丁卯</t>
  </si>
  <si>
    <t>地址</t>
  </si>
  <si>
    <t>镇江新区张许居民委员会</t>
  </si>
  <si>
    <t>单位名称</t>
  </si>
  <si>
    <t>镇江华军电梯有限公司</t>
  </si>
  <si>
    <t>单位简称</t>
  </si>
  <si>
    <t>华军公司</t>
  </si>
  <si>
    <t>法人</t>
  </si>
  <si>
    <t>华德明</t>
  </si>
  <si>
    <t>会计</t>
  </si>
  <si>
    <t>张新暖</t>
  </si>
  <si>
    <t>财务负责人</t>
  </si>
  <si>
    <t>华巍</t>
  </si>
  <si>
    <t>营业执照注册码</t>
  </si>
  <si>
    <t>321100000109396</t>
  </si>
  <si>
    <t>组织机构代码</t>
  </si>
  <si>
    <t>58666102-4</t>
  </si>
  <si>
    <t>税务登记证号</t>
  </si>
  <si>
    <t>321100586661024</t>
  </si>
  <si>
    <t>地税管理码</t>
  </si>
  <si>
    <t>321100100054613</t>
  </si>
  <si>
    <t>开户行</t>
  </si>
  <si>
    <t>农行镇江新区科技支行</t>
  </si>
  <si>
    <t>账号</t>
  </si>
  <si>
    <t>320501040006496</t>
  </si>
  <si>
    <t>行号</t>
  </si>
  <si>
    <t>密码器</t>
  </si>
  <si>
    <t>K宝</t>
  </si>
  <si>
    <t>1959##***</t>
  </si>
  <si>
    <t>单位电话</t>
  </si>
  <si>
    <t>地税开票管理码</t>
  </si>
  <si>
    <t>科目代码</t>
  </si>
  <si>
    <t>总账科目</t>
  </si>
  <si>
    <t>明细科目</t>
  </si>
  <si>
    <t>性质</t>
  </si>
  <si>
    <t>是否明细</t>
  </si>
  <si>
    <t>单位</t>
  </si>
  <si>
    <t>数量</t>
  </si>
  <si>
    <t>单价</t>
  </si>
  <si>
    <t>年初数</t>
  </si>
  <si>
    <t>代码-科目-明细</t>
  </si>
  <si>
    <t>期末余额</t>
  </si>
  <si>
    <t>现金</t>
  </si>
  <si>
    <t>银行存款</t>
  </si>
  <si>
    <t>基本账户</t>
  </si>
  <si>
    <t>应收账款</t>
  </si>
  <si>
    <t>江苏大学</t>
  </si>
  <si>
    <t>电梯安装/西德/东郡华庭</t>
  </si>
  <si>
    <t>东郡华庭五方通话项目</t>
  </si>
  <si>
    <t>电梯维保</t>
  </si>
  <si>
    <t>电梯配件</t>
  </si>
  <si>
    <t>代西德等垫付款</t>
  </si>
  <si>
    <t>丹徒区科创建设有限公司</t>
  </si>
  <si>
    <t>无锡宝骏科技有限公司</t>
  </si>
  <si>
    <t>镇江中远置业有限公司</t>
  </si>
  <si>
    <t>惠龙长江港务</t>
  </si>
  <si>
    <t>上海永大/无锡宝骏/押金</t>
  </si>
  <si>
    <t>西继迅达/华实/押金</t>
  </si>
  <si>
    <t>镇江供电公司</t>
  </si>
  <si>
    <t>无锡红豆置业公司镇江分公司</t>
  </si>
  <si>
    <t>预付账款</t>
  </si>
  <si>
    <t>西继迅达/惠龙长江港务</t>
  </si>
  <si>
    <t>西继迅达/华实市政</t>
  </si>
  <si>
    <t>上海永大电梯/无锡</t>
  </si>
  <si>
    <t>东郡五方通话项目/欧</t>
  </si>
  <si>
    <t>电梯安装人员工资</t>
  </si>
  <si>
    <t>电梯安装款/欧晓行</t>
  </si>
  <si>
    <t>电梯安装款/魏恒兵</t>
  </si>
  <si>
    <t>电梯安装款/傅长文</t>
  </si>
  <si>
    <t>浙江飞亚电梯</t>
  </si>
  <si>
    <t>无锡市蠡园东红电梯装潢厂</t>
  </si>
  <si>
    <t>电梯安装款/无锡蒋应维</t>
  </si>
  <si>
    <t>魏恒兵/惠龙港井道整改</t>
  </si>
  <si>
    <t>庄玉立</t>
  </si>
  <si>
    <t>其他应收款</t>
  </si>
  <si>
    <t>黎志军</t>
  </si>
  <si>
    <t>贾征豪</t>
  </si>
  <si>
    <t>尹仲林</t>
  </si>
  <si>
    <t>投标保证金及押金</t>
  </si>
  <si>
    <t>其他过度户</t>
  </si>
  <si>
    <t>徐州电梯配件票</t>
  </si>
  <si>
    <t>港务局电梯维保/押金</t>
  </si>
  <si>
    <t>煤汽瓶/押金</t>
  </si>
  <si>
    <t>在途物资</t>
  </si>
  <si>
    <t>西继迅达电梯配件</t>
  </si>
  <si>
    <t>库存商品</t>
  </si>
  <si>
    <t>仓库</t>
  </si>
  <si>
    <t>固定资产</t>
  </si>
  <si>
    <t>沙发</t>
  </si>
  <si>
    <t>空调</t>
  </si>
  <si>
    <t>电脑</t>
  </si>
  <si>
    <t>打印机</t>
  </si>
  <si>
    <t>手机</t>
  </si>
  <si>
    <t>手提电脑</t>
  </si>
  <si>
    <t>相机</t>
  </si>
  <si>
    <t>累计折旧</t>
  </si>
  <si>
    <t>待摊费用</t>
  </si>
  <si>
    <t>其他</t>
  </si>
  <si>
    <t>应付账款</t>
  </si>
  <si>
    <t>上海永大电梯</t>
  </si>
  <si>
    <t>无锡蠡园东红电梯装潢厂</t>
  </si>
  <si>
    <t>西继迅达电梯公司/惠龙港</t>
  </si>
  <si>
    <t>西继迅达电梯公司/华实</t>
  </si>
  <si>
    <t>预收账款</t>
  </si>
  <si>
    <t>华实市政</t>
  </si>
  <si>
    <t>电梯安装/西德/华港7台货梯</t>
  </si>
  <si>
    <t>江苏菱王安装款</t>
  </si>
  <si>
    <t>南京嘉运正机电设备有限公司</t>
  </si>
  <si>
    <t>丹徒科创建设有限公司</t>
  </si>
  <si>
    <t>应付职工薪酬</t>
  </si>
  <si>
    <t>职工工资</t>
  </si>
  <si>
    <t>交通补贴</t>
  </si>
  <si>
    <t>职工教育福利</t>
  </si>
  <si>
    <t>五险</t>
  </si>
  <si>
    <t>电梯安装施工队</t>
  </si>
  <si>
    <t>宝骏安装工程款/蒋维应</t>
  </si>
  <si>
    <t>惠龙港/魏恒兵</t>
  </si>
  <si>
    <t>科创/傅长生</t>
  </si>
  <si>
    <t>华港/欧晓行</t>
  </si>
  <si>
    <t>嘉钰电梯1台/傅长生</t>
  </si>
  <si>
    <t>惠龙港井道整改/魏恒兵</t>
  </si>
  <si>
    <t>香江花城/欧</t>
  </si>
  <si>
    <t>应交税费</t>
  </si>
  <si>
    <t>未交增值税</t>
  </si>
  <si>
    <t>营业税</t>
  </si>
  <si>
    <t>城市维护建设税</t>
  </si>
  <si>
    <t>教育费附加</t>
  </si>
  <si>
    <t>印花税</t>
  </si>
  <si>
    <t>企业所得税</t>
  </si>
  <si>
    <t>应交增值税-进项税</t>
  </si>
  <si>
    <t>应交增值税-已交税金</t>
  </si>
  <si>
    <t>应交增值税-未交税金转出</t>
  </si>
  <si>
    <t>应交增值税-销项税</t>
  </si>
  <si>
    <t>应交增值税-进项税额转出</t>
  </si>
  <si>
    <t>应交增值税-转出多交增值税</t>
  </si>
  <si>
    <t>应交增值税-减免税额</t>
  </si>
  <si>
    <t>其他应付款</t>
  </si>
  <si>
    <t>代扣职工保险</t>
  </si>
  <si>
    <t>综合基金</t>
  </si>
  <si>
    <t>华德明代付工资等</t>
  </si>
  <si>
    <t>实收资本</t>
  </si>
  <si>
    <t>本年利润</t>
  </si>
  <si>
    <t>2014年</t>
  </si>
  <si>
    <t>利润分配</t>
  </si>
  <si>
    <t>未分配利润</t>
  </si>
  <si>
    <t>工程施工</t>
  </si>
  <si>
    <t>电梯安装/华港7台/欧晓行</t>
  </si>
  <si>
    <t>电梯安装/江大1台/欧晓行</t>
  </si>
  <si>
    <t>电梯安装/华实/欧晓行</t>
  </si>
  <si>
    <t>电梯安装/嘉钰/傅长文</t>
  </si>
  <si>
    <t>电梯安装/无锡宝骏</t>
  </si>
  <si>
    <t>电梯安装/工资过渡户</t>
  </si>
  <si>
    <t>电梯安装/惠龙港/魏恒兵</t>
  </si>
  <si>
    <t>主营业务收入</t>
  </si>
  <si>
    <t>电梯及配件销售收入</t>
  </si>
  <si>
    <t>劳务收入(维保)</t>
  </si>
  <si>
    <t>安装电梯收入-住建部</t>
  </si>
  <si>
    <t>主营业务成本</t>
  </si>
  <si>
    <t>电梯及配件销售成本</t>
  </si>
  <si>
    <t>劳务成本(维保)</t>
  </si>
  <si>
    <t>安装电梯成本-住建部</t>
  </si>
  <si>
    <t>营业税金及附加</t>
  </si>
  <si>
    <t>管理费用</t>
  </si>
  <si>
    <t>工资</t>
  </si>
  <si>
    <t>折旧费</t>
  </si>
  <si>
    <t>交通费</t>
  </si>
  <si>
    <t>招待费</t>
  </si>
  <si>
    <t>租赁费</t>
  </si>
  <si>
    <t>其他费用</t>
  </si>
  <si>
    <t>通信费</t>
  </si>
  <si>
    <t>办公费</t>
  </si>
  <si>
    <t>职工福利教育</t>
  </si>
  <si>
    <t>职工保险</t>
  </si>
  <si>
    <t>财务费用</t>
  </si>
  <si>
    <t>交易费</t>
  </si>
  <si>
    <t>营业外收入</t>
  </si>
  <si>
    <t>免税</t>
  </si>
  <si>
    <t>营业外支出</t>
  </si>
  <si>
    <t>罚款</t>
  </si>
  <si>
    <t>所得税费用</t>
  </si>
  <si>
    <t>销售</t>
  </si>
  <si>
    <t>年</t>
  </si>
  <si>
    <t>月</t>
  </si>
  <si>
    <t>日</t>
  </si>
  <si>
    <t>凭证号</t>
  </si>
  <si>
    <t>最新编号：</t>
  </si>
  <si>
    <t xml:space="preserve"> 记  账  凭  证</t>
  </si>
  <si>
    <t>日期：</t>
  </si>
  <si>
    <t>代码</t>
  </si>
  <si>
    <t>摘  要</t>
  </si>
  <si>
    <t>总帐科目</t>
  </si>
  <si>
    <t>数
量</t>
  </si>
  <si>
    <t>单
价</t>
  </si>
  <si>
    <t>借方金额</t>
  </si>
  <si>
    <t>贷方金额</t>
  </si>
  <si>
    <t/>
  </si>
  <si>
    <t>5/16付交易费</t>
  </si>
  <si>
    <t>附</t>
  </si>
  <si>
    <t>件</t>
  </si>
  <si>
    <t>张</t>
  </si>
  <si>
    <t>结算方式及票号：</t>
  </si>
  <si>
    <t>合  计：</t>
  </si>
  <si>
    <t>摘要</t>
  </si>
  <si>
    <t>借金额</t>
  </si>
  <si>
    <t>贷金额</t>
  </si>
  <si>
    <t>附件数</t>
  </si>
  <si>
    <t>一</t>
  </si>
  <si>
    <t>1/10进东郡五方通话工程款</t>
  </si>
  <si>
    <t>办公用品费</t>
  </si>
  <si>
    <t>付办公用品</t>
  </si>
  <si>
    <t>办公用品</t>
  </si>
  <si>
    <t>付汽车修理费</t>
  </si>
  <si>
    <t>工作餐</t>
  </si>
  <si>
    <t>汽车修理费</t>
  </si>
  <si>
    <t>1/13付欧晓行东郡五方通话</t>
  </si>
  <si>
    <t>1/11付交易费</t>
  </si>
  <si>
    <t>1/10付交易费</t>
  </si>
  <si>
    <t>1/7付交易费</t>
  </si>
  <si>
    <t>1/5付交易费</t>
  </si>
  <si>
    <t>1/3付交易费</t>
  </si>
  <si>
    <t>1/4付交易费</t>
  </si>
  <si>
    <t>付交易费</t>
  </si>
  <si>
    <t>1/3付华港项目安装款</t>
  </si>
  <si>
    <t>1/3付欧/华港7台货梯/调试合格</t>
  </si>
  <si>
    <t>1/3提现金</t>
  </si>
  <si>
    <t>发2013年12月工资</t>
  </si>
  <si>
    <t>发2013年12月车贴</t>
  </si>
  <si>
    <t>补贴</t>
  </si>
  <si>
    <t>代扣2013年12月双保</t>
  </si>
  <si>
    <t>发2013/12月份工资</t>
  </si>
  <si>
    <t>补发2012年4月份工资</t>
  </si>
  <si>
    <t>工资及福利</t>
  </si>
  <si>
    <t>1/9付潘学让12年4月份工资</t>
  </si>
  <si>
    <t>1/9付曹晓翠12年4月份工资</t>
  </si>
  <si>
    <t>代扣个人交双保</t>
  </si>
  <si>
    <t>华港税款</t>
  </si>
  <si>
    <t>代垫款</t>
  </si>
  <si>
    <t>代垫西德税款</t>
  </si>
  <si>
    <t>华港7台电梯税款</t>
  </si>
  <si>
    <t>油费</t>
  </si>
  <si>
    <t>投标费</t>
  </si>
  <si>
    <t>餐费</t>
  </si>
  <si>
    <t>提现</t>
  </si>
  <si>
    <t>曹晓翠还款</t>
  </si>
  <si>
    <t>会议费</t>
  </si>
  <si>
    <t>借款</t>
  </si>
  <si>
    <t>1/3付华德明</t>
  </si>
  <si>
    <t>购油卡</t>
  </si>
  <si>
    <t>1/16收南京嘉运</t>
  </si>
  <si>
    <t>1/10收西德华港安装款</t>
  </si>
  <si>
    <t>1/10收紫金物业</t>
  </si>
  <si>
    <t>维保</t>
  </si>
  <si>
    <t>还款</t>
  </si>
  <si>
    <t>1/10还华德明款</t>
  </si>
  <si>
    <t>镇江市建设工程交易中心/投标</t>
  </si>
  <si>
    <t>投标及押金</t>
  </si>
  <si>
    <t>1/10付镇江市建设工程交易中心</t>
  </si>
  <si>
    <t>西德/红丰置业保证金</t>
  </si>
  <si>
    <t>1/6付西德/红丰置业保证金</t>
  </si>
  <si>
    <t>永大/投标保证金</t>
  </si>
  <si>
    <t>1/2付永大/投标保证金</t>
  </si>
  <si>
    <t>汽车保险费</t>
  </si>
  <si>
    <t>1/17付林治代垫汽车保险费</t>
  </si>
  <si>
    <t>1/17付华德明代垫汽车保险费</t>
  </si>
  <si>
    <t>增值税-进项税</t>
  </si>
  <si>
    <t>1/4付西德进电梯配件</t>
  </si>
  <si>
    <t>1/13交上年12月增值税</t>
  </si>
  <si>
    <t>1/13付上年12月印花税</t>
  </si>
  <si>
    <t>上年12月税</t>
  </si>
  <si>
    <t>冲上年12月税</t>
  </si>
  <si>
    <t>1/14付上年12月税</t>
  </si>
  <si>
    <t>工会经费城镇垃圾职教经费</t>
  </si>
  <si>
    <t>1/13付综合基金等</t>
  </si>
  <si>
    <t>1/21还华德明</t>
  </si>
  <si>
    <t>电缆线及人工工资</t>
  </si>
  <si>
    <t>欧/华港7台货梯/调试合格</t>
  </si>
  <si>
    <t>欧/华实/调试合格款</t>
  </si>
  <si>
    <t>欧/江大/调试合格款</t>
  </si>
  <si>
    <t>欧/华港7台货梯/安装进场款</t>
  </si>
  <si>
    <t>1/20付欧晓行安装款</t>
  </si>
  <si>
    <t>劳保,办公用品</t>
  </si>
  <si>
    <t>酒饮品</t>
  </si>
  <si>
    <t>1/2付劳保办公用品等</t>
  </si>
  <si>
    <t>开科创上年下半年13/10/1-14/3/31</t>
  </si>
  <si>
    <t>科创13年10月01日-14年03月31日</t>
  </si>
  <si>
    <t>提取1月份工资</t>
  </si>
  <si>
    <t>提取1月份交通补贴费</t>
  </si>
  <si>
    <t>计提一月份折旧费</t>
  </si>
  <si>
    <t>一月份待摊费用</t>
  </si>
  <si>
    <t>西德/华港7台货梯安装完工开票</t>
  </si>
  <si>
    <t>西德/华港8台货梯安装完工开票</t>
  </si>
  <si>
    <t>1/23提现金</t>
  </si>
  <si>
    <t>交2013年12月五险单位部分</t>
  </si>
  <si>
    <t>结转华港工程安装成本</t>
  </si>
  <si>
    <t>小曹还来</t>
  </si>
  <si>
    <t>1/20l转小曹备用金</t>
  </si>
  <si>
    <t>发一月份工资</t>
  </si>
  <si>
    <t>发一月份车贴</t>
  </si>
  <si>
    <t>代扣一月份个人五险</t>
  </si>
  <si>
    <t>付一月份工资</t>
  </si>
  <si>
    <t>傅/嘉钰/调试合格款</t>
  </si>
  <si>
    <t>傅/嘉钰/取得合格证款</t>
  </si>
  <si>
    <t>付傅长文安装款</t>
  </si>
  <si>
    <t>电话费</t>
  </si>
  <si>
    <t>付电话费</t>
  </si>
  <si>
    <t>1/24还款子</t>
  </si>
  <si>
    <t>1/24还华德明</t>
  </si>
  <si>
    <t>1/21市公共退投标款</t>
  </si>
  <si>
    <t>1/22西德退投标款</t>
  </si>
  <si>
    <t>1/22交易费</t>
  </si>
  <si>
    <t>1/17交易费</t>
  </si>
  <si>
    <t>1/18交易费</t>
  </si>
  <si>
    <t>交03/12月份五金</t>
  </si>
  <si>
    <t>罚息</t>
  </si>
  <si>
    <t>1/16付五金</t>
  </si>
  <si>
    <t>1/16罚息</t>
  </si>
  <si>
    <t>魏/金山/安装进场</t>
  </si>
  <si>
    <t>魏/金山/调试合格</t>
  </si>
  <si>
    <t>魏/金山/取得合格证</t>
  </si>
  <si>
    <t>1/26付魏恒兵金山</t>
  </si>
  <si>
    <t>礼品费</t>
  </si>
  <si>
    <t>1/24付礼品费</t>
  </si>
  <si>
    <t>13/4-14/3月房租费</t>
  </si>
  <si>
    <t>1/26付张许村委房租费</t>
  </si>
  <si>
    <t>付有票费用</t>
  </si>
  <si>
    <t>付其他款</t>
  </si>
  <si>
    <t>1/26付尹仲林</t>
  </si>
  <si>
    <t>一月份安装人员工资及福利</t>
  </si>
  <si>
    <t>一月份安装人员工资</t>
  </si>
  <si>
    <t>一月份安装人员福利</t>
  </si>
  <si>
    <t>提一月份管理人员福利</t>
  </si>
  <si>
    <t>提现发奖金</t>
  </si>
  <si>
    <t>发奖金</t>
  </si>
  <si>
    <t>1/28提现发奖金</t>
  </si>
  <si>
    <t>黄页</t>
  </si>
  <si>
    <t>支票工本费</t>
  </si>
  <si>
    <t>付黄页</t>
  </si>
  <si>
    <t>1/28付工本费</t>
  </si>
  <si>
    <t>缴税华港项目</t>
  </si>
  <si>
    <t>一月份维保税款</t>
  </si>
  <si>
    <t>1/25付交易费</t>
  </si>
  <si>
    <t>1/23付交易费</t>
  </si>
  <si>
    <t>工会经费等</t>
  </si>
  <si>
    <t>一月份基金</t>
  </si>
  <si>
    <t>2/5交基金等</t>
  </si>
  <si>
    <t>二月份工资及福利</t>
  </si>
  <si>
    <t>二月份车费</t>
  </si>
  <si>
    <t>二月份保险</t>
  </si>
  <si>
    <t>提二月份福利</t>
  </si>
  <si>
    <t>二月份安装人员工资及福利</t>
  </si>
  <si>
    <t>电梯安装/安装工资</t>
  </si>
  <si>
    <t>二月份安装人员工资</t>
  </si>
  <si>
    <t>二月份安装人员福利</t>
  </si>
  <si>
    <t>网络费</t>
  </si>
  <si>
    <t>提</t>
  </si>
  <si>
    <t>2/14提现备用</t>
  </si>
  <si>
    <t>过路费</t>
  </si>
  <si>
    <t>工作服</t>
  </si>
  <si>
    <t>2/24付工作服等</t>
  </si>
  <si>
    <t>提二份折旧</t>
  </si>
  <si>
    <t>二月摊销房租费</t>
  </si>
  <si>
    <t>2/27中远/轿厢主板1块</t>
  </si>
  <si>
    <t>配件</t>
  </si>
  <si>
    <t>结转成本中远电梯</t>
  </si>
  <si>
    <t>科创配件费</t>
  </si>
  <si>
    <t>科创2013-4至2013-9月份维保</t>
  </si>
  <si>
    <t>2/28收科创维保费</t>
  </si>
  <si>
    <t>科创2013-10至2014-3月份维保</t>
  </si>
  <si>
    <t>网上交易费</t>
  </si>
  <si>
    <t>2/27付交易费</t>
  </si>
  <si>
    <t>2/25付交易费</t>
  </si>
  <si>
    <t>2/26收电梯款</t>
  </si>
  <si>
    <t>2/26收惠龙长江港务</t>
  </si>
  <si>
    <t>2/26付电梯款</t>
  </si>
  <si>
    <t>2/26汇西继迅达电梯款</t>
  </si>
  <si>
    <t>2/26网银付华德明</t>
  </si>
  <si>
    <t>路费</t>
  </si>
  <si>
    <t>付工作餐等</t>
  </si>
  <si>
    <t>二月份税</t>
  </si>
  <si>
    <t>2/12付交易费</t>
  </si>
  <si>
    <t>2014/1月54#调整</t>
  </si>
  <si>
    <t>提现金备用</t>
  </si>
  <si>
    <t>3/5提现金</t>
  </si>
  <si>
    <t>中远置业轿厢主板</t>
  </si>
  <si>
    <t>收中远置业轿厢主板款</t>
  </si>
  <si>
    <t>1-2月电费</t>
  </si>
  <si>
    <t>付1-月电费</t>
  </si>
  <si>
    <t>发二月份工资</t>
  </si>
  <si>
    <t>1-2月加班工资</t>
  </si>
  <si>
    <t>发1-2月加班工资</t>
  </si>
  <si>
    <t>付过路费</t>
  </si>
  <si>
    <t>交三个月五金</t>
  </si>
  <si>
    <t>3/11交五金</t>
  </si>
  <si>
    <t>调整</t>
  </si>
  <si>
    <t>三月份工资</t>
  </si>
  <si>
    <t>三月份交通补贴</t>
  </si>
  <si>
    <t>三月份五金</t>
  </si>
  <si>
    <t>三月分安装人员工资及福利</t>
  </si>
  <si>
    <t>三月分安装人员工资</t>
  </si>
  <si>
    <t>三月分安装人员福利</t>
  </si>
  <si>
    <t>三月份职工福利</t>
  </si>
  <si>
    <t>开苏盐上年下半年13/9/15-14/3/14</t>
  </si>
  <si>
    <t>开三丰上年下半年13/9/28-14/3/27</t>
  </si>
  <si>
    <t>苏盐连锁2013/9/15-3/14</t>
  </si>
  <si>
    <t>三丰润福记2013/9/28-3/27</t>
  </si>
  <si>
    <t>开上半年展销馆13/12/20-14/6/19</t>
  </si>
  <si>
    <t>展销馆13年12月20日-14年06月</t>
  </si>
  <si>
    <t>展销馆 平层感应器</t>
  </si>
  <si>
    <t>苏盐连锁 轿厢照明等</t>
  </si>
  <si>
    <t>房租费</t>
  </si>
  <si>
    <t>提三月份折旧</t>
  </si>
  <si>
    <t>公司代张新暖支付光盘费</t>
  </si>
  <si>
    <t>3/4付佛山光盘</t>
  </si>
  <si>
    <t>3/5交易费</t>
  </si>
  <si>
    <t>3/12姜永红打入</t>
  </si>
  <si>
    <t>3/12交易费</t>
  </si>
  <si>
    <t>3/15交易费</t>
  </si>
  <si>
    <t>魏/惠龙港/安装进场款</t>
  </si>
  <si>
    <t>3/17提现金</t>
  </si>
  <si>
    <t>平层感应器及变压器</t>
  </si>
  <si>
    <t>付平层感应器及变压器</t>
  </si>
  <si>
    <t>食堂用料</t>
  </si>
  <si>
    <t>公交冲费</t>
  </si>
  <si>
    <t>话费</t>
  </si>
  <si>
    <t>付食堂费用等</t>
  </si>
  <si>
    <t>惠龙港电梯井道用槽钢等</t>
  </si>
  <si>
    <t>惠龙港3/18服务费</t>
  </si>
  <si>
    <t>3/27展销馆打入</t>
  </si>
  <si>
    <t>展销馆上半年12年12月20日-13年06月19日</t>
  </si>
  <si>
    <t>平层感应器</t>
  </si>
  <si>
    <t>开物价局上年下半年13/9/21-14/3/20</t>
  </si>
  <si>
    <t>员工餐费</t>
  </si>
  <si>
    <t>3/31付员工工作餐</t>
  </si>
  <si>
    <t>机油</t>
  </si>
  <si>
    <t>付机油</t>
  </si>
  <si>
    <t>3/26付账管费</t>
  </si>
  <si>
    <t>3/21收利息</t>
  </si>
  <si>
    <t>3/18付交易费</t>
  </si>
  <si>
    <t>账管旨等</t>
  </si>
  <si>
    <t>2月份</t>
  </si>
  <si>
    <t>2月份工会教育费</t>
  </si>
  <si>
    <t>二月份销售基金</t>
  </si>
  <si>
    <t>3/11付地税城管费</t>
  </si>
  <si>
    <t>西继迅达/惠龙港电梯安装保证金</t>
  </si>
  <si>
    <t>3/14付西继迅达惠龙港押金</t>
  </si>
  <si>
    <t>西继惠龙港电梯自提运费</t>
  </si>
  <si>
    <t>3/11付西继惠龙电梯自提运费</t>
  </si>
  <si>
    <t>3/31收代垫西德税款</t>
  </si>
  <si>
    <t>3/3收代垫西德税款</t>
  </si>
  <si>
    <t>收代垫西德税款</t>
  </si>
  <si>
    <t>汇李景云电梯配件</t>
  </si>
  <si>
    <t>3/17汇李景云电梯配件</t>
  </si>
  <si>
    <t>烟酒</t>
  </si>
  <si>
    <t>百货等</t>
  </si>
  <si>
    <t>未付</t>
  </si>
  <si>
    <t>三月份税</t>
  </si>
  <si>
    <t>调1月27#2013年12月小企业免营业税</t>
  </si>
  <si>
    <t>调1月27#2013年13月小企业免营业税</t>
  </si>
  <si>
    <t>一月份免税</t>
  </si>
  <si>
    <t>4/16付</t>
  </si>
  <si>
    <t>4/11付</t>
  </si>
  <si>
    <t>二人四月份保险</t>
  </si>
  <si>
    <t>4/14交四月份保险</t>
  </si>
  <si>
    <t>交上月印花税</t>
  </si>
  <si>
    <t>交上月综合基金</t>
  </si>
  <si>
    <t>交工会费</t>
  </si>
  <si>
    <t>交卫生费</t>
  </si>
  <si>
    <t>4/14付印花税</t>
  </si>
  <si>
    <t>4/14付综合基金等</t>
  </si>
  <si>
    <t>东郡安装款</t>
  </si>
  <si>
    <t>4/11收西德东郡安装款</t>
  </si>
  <si>
    <t>收到惠龙港3/18服务费</t>
  </si>
  <si>
    <t>4/15收惠龙港款</t>
  </si>
  <si>
    <t>西继迅达退押金</t>
  </si>
  <si>
    <t>4/9收到西继迅达押金</t>
  </si>
  <si>
    <t>4/8收苏盐款</t>
  </si>
  <si>
    <t>收到苏盐连锁2013/9/15-3/14</t>
  </si>
  <si>
    <t>轿厢照明等</t>
  </si>
  <si>
    <t>4/10付</t>
  </si>
  <si>
    <t>4/10付华德明</t>
  </si>
  <si>
    <t>欧/东郡华庭一期安装款取得合格证</t>
  </si>
  <si>
    <t>4/17付小欧东郡安装款</t>
  </si>
  <si>
    <t>魏/东郡华庭一期/取得合格证</t>
  </si>
  <si>
    <t>收回魏恒兵工具款</t>
  </si>
  <si>
    <t>4/16付魏恒兵东郡安装款</t>
  </si>
  <si>
    <t>付三月份工资</t>
  </si>
  <si>
    <t>付三月份交通费</t>
  </si>
  <si>
    <t>4/4提现金</t>
  </si>
  <si>
    <t>代扣二人交保险</t>
  </si>
  <si>
    <t>发工资余现金</t>
  </si>
  <si>
    <t>曹高山交通费</t>
  </si>
  <si>
    <t>曹高山通信费</t>
  </si>
  <si>
    <t>代码年检费</t>
  </si>
  <si>
    <t>付曹高山费用等</t>
  </si>
  <si>
    <t>收到三丰润福记2013/9/28-3/27维保款</t>
  </si>
  <si>
    <t>李景云</t>
  </si>
  <si>
    <t>中远置业4/10开票</t>
  </si>
  <si>
    <t>开财政局上年下半年13/11/1-14/4/30</t>
  </si>
  <si>
    <t>财政局下半年13年11月01日-14年04月30日</t>
  </si>
  <si>
    <t>澣英楼宾馆14年01月25日-14年07月24日</t>
  </si>
  <si>
    <t>开上半年澣英14/1/25-14/7/24</t>
  </si>
  <si>
    <t>开港务上年下半年13/12/1-14/5/31</t>
  </si>
  <si>
    <t>港务局4/15开13年12月01日-14年05月31日</t>
  </si>
  <si>
    <t>稳润光电4/15开14年01月01日-14年06月30日</t>
  </si>
  <si>
    <t>开上半年稳润14/1/1-14/6/30</t>
  </si>
  <si>
    <t>开上半年房开14/1/1-14/6/30</t>
  </si>
  <si>
    <t>新区房地产4/15开14年01月01日-14年06月30日</t>
  </si>
  <si>
    <t>千里马4/15开13年12月19日-14年06月18日</t>
  </si>
  <si>
    <t>开上半年千里马13/12/19-14/6/18</t>
  </si>
  <si>
    <t>4/15付西继迅达</t>
  </si>
  <si>
    <t>4/15付西继迅达进配件</t>
  </si>
  <si>
    <t>4/22付欧晓行东郡安装合格证款</t>
  </si>
  <si>
    <t>东郡一期结束</t>
  </si>
  <si>
    <t>金山电梯完工</t>
  </si>
  <si>
    <t>小欧东郡一期完工</t>
  </si>
  <si>
    <t>提四月份工资</t>
  </si>
  <si>
    <t>提四月分安装人员工资及福利</t>
  </si>
  <si>
    <t>提四月分安装人员工资</t>
  </si>
  <si>
    <t>提四月分安装人员福利</t>
  </si>
  <si>
    <t>提四月份管理人员福利</t>
  </si>
  <si>
    <t>职工福利</t>
  </si>
  <si>
    <t>转华德明</t>
  </si>
  <si>
    <t>尹仲林黎志军转入</t>
  </si>
  <si>
    <t>资本转让给华德明</t>
  </si>
  <si>
    <t>资本转让</t>
  </si>
  <si>
    <t>4/10丹徒财政局汇入</t>
  </si>
  <si>
    <t>4/10丹徒财政局汇入维保款</t>
  </si>
  <si>
    <t>4/9物价局维保款</t>
  </si>
  <si>
    <t>4/9付交易费</t>
  </si>
  <si>
    <t>4/25澣英楼宾馆维保费</t>
  </si>
  <si>
    <t>收到港务局</t>
  </si>
  <si>
    <t>4/24收港务局维保款</t>
  </si>
  <si>
    <t>4/29提现金</t>
  </si>
  <si>
    <t>4/29提现金付工资</t>
  </si>
  <si>
    <t>公交充值</t>
  </si>
  <si>
    <t>电壶灯等</t>
  </si>
  <si>
    <t>手机充值</t>
  </si>
  <si>
    <t>付工人餐等</t>
  </si>
  <si>
    <t>魏/惠龙港/调试合格款</t>
  </si>
  <si>
    <t>付四月份工资</t>
  </si>
  <si>
    <t>付四月份交通</t>
  </si>
  <si>
    <t>代付四月份双保</t>
  </si>
  <si>
    <t>付工资</t>
  </si>
  <si>
    <t>3/3,4/29分别充油卡</t>
  </si>
  <si>
    <t>付3/3,4/29分别充油卡</t>
  </si>
  <si>
    <t>提四月份折旧费</t>
  </si>
  <si>
    <t>提四月份折旧</t>
  </si>
  <si>
    <t>二月份地税</t>
  </si>
  <si>
    <t>尾数</t>
  </si>
  <si>
    <t>结转成本</t>
  </si>
  <si>
    <t>付1-4月份安装人员及工程师工资</t>
  </si>
  <si>
    <t>4/22汇李景云</t>
  </si>
  <si>
    <t>4/23汇李景云</t>
  </si>
  <si>
    <t>4/23交易费</t>
  </si>
  <si>
    <t>4/24交易费</t>
  </si>
  <si>
    <t>冲1-4月提取福利</t>
  </si>
  <si>
    <t>冲1-5月提取福利</t>
  </si>
  <si>
    <t>交四月份地税款</t>
  </si>
  <si>
    <t>5/6交四月份地税款</t>
  </si>
  <si>
    <t>交四月份地税</t>
  </si>
  <si>
    <t>交四月份地税工会垃圾职业金</t>
  </si>
  <si>
    <t>5/7交四月份地税</t>
  </si>
  <si>
    <t>5/6交四月份地税</t>
  </si>
  <si>
    <t>5/15收稳润光电维保款</t>
  </si>
  <si>
    <t>5/15付华德明</t>
  </si>
  <si>
    <t>江大电梯栓测费</t>
  </si>
  <si>
    <t>现金付江大电梯栓测费</t>
  </si>
  <si>
    <t>5/12付欧小行</t>
  </si>
  <si>
    <t>槽钢</t>
  </si>
  <si>
    <t>5/12付魏恒兵</t>
  </si>
  <si>
    <t>5/15收千里马维保款</t>
  </si>
  <si>
    <t>自查房租合同印花税</t>
  </si>
  <si>
    <t>自查房租合同印花税滞纳金</t>
  </si>
  <si>
    <t>付自查房租合同印花税</t>
  </si>
  <si>
    <t>3-4电费</t>
  </si>
  <si>
    <t>米油</t>
  </si>
  <si>
    <t>付电费及米油费</t>
  </si>
  <si>
    <t>5/22收中远配件费</t>
  </si>
  <si>
    <t>5/2收中远配件费</t>
  </si>
  <si>
    <t>配件费</t>
  </si>
  <si>
    <t>付过路费等</t>
  </si>
  <si>
    <t>提五月份工资</t>
  </si>
  <si>
    <t>提五月份保险</t>
  </si>
  <si>
    <t>提五月份折旧</t>
  </si>
  <si>
    <t>提五月分工资</t>
  </si>
  <si>
    <t>培训费</t>
  </si>
  <si>
    <t>更换江大轿壁残碍盘</t>
  </si>
  <si>
    <t>公交车费</t>
  </si>
  <si>
    <t>电梯配件百货</t>
  </si>
  <si>
    <t>付电梯配件百货等</t>
  </si>
  <si>
    <t>5/20收西德款</t>
  </si>
  <si>
    <t>西德电梯公司电梯配件</t>
  </si>
  <si>
    <t>结转电梯配件 成本</t>
  </si>
  <si>
    <t>五月份地税</t>
  </si>
  <si>
    <t>开惠龙下半年13/10/10-14/4/9</t>
  </si>
  <si>
    <t>开瑞盛下半年14/3/1-14/8/31</t>
  </si>
  <si>
    <t>开上半年财政局14/5/1-14/10/31</t>
  </si>
  <si>
    <t>开紫金下半年14/5/1-14/10/31</t>
  </si>
  <si>
    <t>开上半年华港14/5/15-14/11/14</t>
  </si>
  <si>
    <t>5家维保</t>
  </si>
  <si>
    <t>开展销馆下半年14/6/20-14/12/19</t>
  </si>
  <si>
    <t>江大电梯安装款</t>
  </si>
  <si>
    <t>电梯安装款</t>
  </si>
  <si>
    <t>安装江大电梯款交地税款</t>
  </si>
  <si>
    <t>江大电梯轿厢更换人工费</t>
  </si>
  <si>
    <t>欧/江大/取得合格证款</t>
  </si>
  <si>
    <t>6/13付欧晓行</t>
  </si>
  <si>
    <t>广告牌</t>
  </si>
  <si>
    <t>6/12付相机</t>
  </si>
  <si>
    <t>付五月分工资</t>
  </si>
  <si>
    <t>华德明代付工资</t>
  </si>
  <si>
    <t>6/10还华德明</t>
  </si>
  <si>
    <t>2014年税控维护费</t>
  </si>
  <si>
    <t>2015年税控维护费</t>
  </si>
  <si>
    <t>打的费</t>
  </si>
  <si>
    <t>付打的费</t>
  </si>
  <si>
    <t>借现金</t>
  </si>
  <si>
    <t>6/5借华德明现金</t>
  </si>
  <si>
    <t>提六月份折旧费</t>
  </si>
  <si>
    <t>提六月份工资及保险</t>
  </si>
  <si>
    <t>提六月份劳务人员工资</t>
  </si>
  <si>
    <t>银行交易费</t>
  </si>
  <si>
    <t>6/13付银行交易费</t>
  </si>
  <si>
    <t>6/11付银行交易费</t>
  </si>
  <si>
    <t>6/12收西德/华港</t>
  </si>
  <si>
    <t>6/11收西德</t>
  </si>
  <si>
    <t>6/12收新区房地产</t>
  </si>
  <si>
    <t>6/6收上海永大退押金</t>
  </si>
  <si>
    <t>6/5付五月份五险</t>
  </si>
  <si>
    <t>6/6付六月份五险</t>
  </si>
  <si>
    <t>6/5付五险</t>
  </si>
  <si>
    <t>6/6付五险</t>
  </si>
  <si>
    <t>6/10付五金滞纳金</t>
  </si>
  <si>
    <t>付五月份</t>
  </si>
  <si>
    <t>6/5付垃圾处理费等</t>
  </si>
  <si>
    <t>交江苏大学安装费税款</t>
  </si>
  <si>
    <t>6/11收财政局维保费</t>
  </si>
  <si>
    <t>灯管</t>
  </si>
  <si>
    <t>6/20付灯管</t>
  </si>
  <si>
    <t>工具架</t>
  </si>
  <si>
    <t>6/20付工具架</t>
  </si>
  <si>
    <t>6/23付欧/华实/取得合格证款</t>
  </si>
  <si>
    <t>6/23付欧/华港7台货梯/取得合格证</t>
  </si>
  <si>
    <t>6/23付欧晓行电梯安装款</t>
  </si>
  <si>
    <t>电钻</t>
  </si>
  <si>
    <t>车费</t>
  </si>
  <si>
    <t>付电钻车费等</t>
  </si>
  <si>
    <t>账管费及利息</t>
  </si>
  <si>
    <t>存息</t>
  </si>
  <si>
    <t>账管费</t>
  </si>
  <si>
    <t>6/26还华德明</t>
  </si>
  <si>
    <t>6/25收江大款</t>
  </si>
  <si>
    <t>6/28付网银年费</t>
  </si>
  <si>
    <t>6/27付交易费</t>
  </si>
  <si>
    <t>6/30预收丹徒科创电梯款</t>
  </si>
  <si>
    <t>李景云配件款</t>
  </si>
  <si>
    <t>6/20付李景云配件款</t>
  </si>
  <si>
    <t>6/26付深圳智菱电梯配件</t>
  </si>
  <si>
    <t>邮费</t>
  </si>
  <si>
    <t>6/27提现</t>
  </si>
  <si>
    <t>米食堂用</t>
  </si>
  <si>
    <t>应交六月份地税款</t>
  </si>
  <si>
    <t>三月份减免税</t>
  </si>
  <si>
    <t>五月份减免税</t>
  </si>
  <si>
    <t>3-5月份减免税</t>
  </si>
  <si>
    <t>深圳智菱电梯配件</t>
  </si>
  <si>
    <t>电梯配件及运费</t>
  </si>
  <si>
    <t>紫金物业导轨润滑油</t>
  </si>
  <si>
    <t>电梯运费</t>
  </si>
  <si>
    <t>永大电梯公司</t>
  </si>
  <si>
    <t>电梯维护</t>
  </si>
  <si>
    <t>结转江大电梯安装费</t>
  </si>
  <si>
    <t>江大华实电梯安装完工工资转入</t>
  </si>
  <si>
    <t>江大安装结束</t>
  </si>
  <si>
    <t>华实安装结束</t>
  </si>
  <si>
    <t>付六月份工资</t>
  </si>
  <si>
    <t>代扣六月份个人交保险费</t>
  </si>
  <si>
    <t>城镇垃圾处理工会经费</t>
  </si>
  <si>
    <t>上月基金</t>
  </si>
  <si>
    <t>7/11付基金等</t>
  </si>
  <si>
    <t>7/8预收电梯款</t>
  </si>
  <si>
    <t>百纲用品</t>
  </si>
  <si>
    <t>欧/华港7台货梯/取得合格证</t>
  </si>
  <si>
    <t>7/15付欧华港安装款</t>
  </si>
  <si>
    <t>陈斌</t>
  </si>
  <si>
    <t>7/8提现</t>
  </si>
  <si>
    <t>付现</t>
  </si>
  <si>
    <t>7/4提现</t>
  </si>
  <si>
    <t>复印费</t>
  </si>
  <si>
    <t>付油费</t>
  </si>
  <si>
    <t>电费</t>
  </si>
  <si>
    <t>中餐用米</t>
  </si>
  <si>
    <t>付电费米</t>
  </si>
  <si>
    <t>7/21付魏恒兵</t>
  </si>
  <si>
    <t>开上半年港务14/6/10-14/12/9</t>
  </si>
  <si>
    <t>开稳润下半年14/7/1-14/12/31</t>
  </si>
  <si>
    <t>稳润科创</t>
  </si>
  <si>
    <t>开上半年科创14/4/1-14/9/30</t>
  </si>
  <si>
    <t>开上半年惠龙14/4/10-14/10/9</t>
  </si>
  <si>
    <t>7/23镇江港务集团有限公司电梯配件</t>
  </si>
  <si>
    <t>7/9汇电梯款</t>
  </si>
  <si>
    <t>7/1汇电梯款</t>
  </si>
  <si>
    <t>7/11收上海永大款</t>
  </si>
  <si>
    <t>李冬福1-7养老金5-7医保金</t>
  </si>
  <si>
    <t>曹高山补13/8月</t>
  </si>
  <si>
    <t>7/9付养老箕保费</t>
  </si>
  <si>
    <t>7/2付交易费</t>
  </si>
  <si>
    <t>7/9付交易费</t>
  </si>
  <si>
    <t>7/10付交易费</t>
  </si>
  <si>
    <t>7/14交印花税</t>
  </si>
  <si>
    <t>交地税款</t>
  </si>
  <si>
    <t>7/14交地税款</t>
  </si>
  <si>
    <t>交8月份职工保险</t>
  </si>
  <si>
    <t>7/11交8月份职工保险</t>
  </si>
  <si>
    <t>西德/华港7台货梯维保费</t>
  </si>
  <si>
    <t>整改费</t>
  </si>
  <si>
    <t>网费</t>
  </si>
  <si>
    <t>付网费等</t>
  </si>
  <si>
    <t>瀚英楼宾馆2台电梯整改费</t>
  </si>
  <si>
    <t>7/29收展销馆下半年14/6/20-14/12/19</t>
  </si>
  <si>
    <t>7/29收惠龙下半年13/10/10-14/4/9</t>
  </si>
  <si>
    <t>傅/科创/进场款</t>
  </si>
  <si>
    <t>付傅/科创/进场款</t>
  </si>
  <si>
    <t>提七月分工资</t>
  </si>
  <si>
    <t>提七月分保险</t>
  </si>
  <si>
    <t>提七月份安装人员工资</t>
  </si>
  <si>
    <t>提七月份折旧</t>
  </si>
  <si>
    <t>七月份地税</t>
  </si>
  <si>
    <t>7/31收开瑞盛下半年14/3/1-14/8/31</t>
  </si>
  <si>
    <t>4/22李景云电梯配件</t>
  </si>
  <si>
    <t>6/20李景云电梯配件</t>
  </si>
  <si>
    <t>电梯配件转成本</t>
  </si>
  <si>
    <t>酒饭</t>
  </si>
  <si>
    <t>8/4付曹报费用</t>
  </si>
  <si>
    <t>收到上半年华港14/5/15-14/11/14</t>
  </si>
  <si>
    <t>8/5收到上半年华港14/5/15-14/11/14</t>
  </si>
  <si>
    <t>8/7收到镇江港务集团有限公司电梯配件</t>
  </si>
  <si>
    <t>请师傅招待费</t>
  </si>
  <si>
    <t>8/5提现金</t>
  </si>
  <si>
    <t>8/5转入华德明</t>
  </si>
  <si>
    <t>8/4预付上海永大电梯款</t>
  </si>
  <si>
    <t>上半年港务14/6/10-14/12/9</t>
  </si>
  <si>
    <t>8/4收港务14/6/10-14/12/9</t>
  </si>
  <si>
    <t>8/6交易费</t>
  </si>
  <si>
    <t>8/5交易费</t>
  </si>
  <si>
    <t>交上月基金</t>
  </si>
  <si>
    <t>职工教育工会统筹</t>
  </si>
  <si>
    <t>垃圾处理</t>
  </si>
  <si>
    <t>8/4付地税</t>
  </si>
  <si>
    <t>交上月份地税款</t>
  </si>
  <si>
    <t>8/11预收科创电梯安装工程款</t>
  </si>
  <si>
    <t>8/4华德明打入</t>
  </si>
  <si>
    <t>8/华德明打入无锡宝骏电梯款</t>
  </si>
  <si>
    <t>提八月份工资</t>
  </si>
  <si>
    <t>提八月份保险</t>
  </si>
  <si>
    <t>付七月工资</t>
  </si>
  <si>
    <t>代扣个人交保险</t>
  </si>
  <si>
    <t>提安装工程师八月工资</t>
  </si>
  <si>
    <t xml:space="preserve">提八月折旧 </t>
  </si>
  <si>
    <t>开上半年苏盐14/3/15-14/9/14</t>
  </si>
  <si>
    <t>开千里马下半年14/6/19-14/12/18</t>
  </si>
  <si>
    <t>开澣英下半年14/7/25-15/1/24</t>
  </si>
  <si>
    <t>开房开下半年14/7/1-14/12/31</t>
  </si>
  <si>
    <t>新区房地产开发公司等电梯服务费</t>
  </si>
  <si>
    <t>8/14收到西德</t>
  </si>
  <si>
    <t>收西德电梯公司7/28开10500/2</t>
  </si>
  <si>
    <t>曹晓翠借业务周转金</t>
  </si>
  <si>
    <t>付曹晓翠借业务周转金</t>
  </si>
  <si>
    <t>华话费</t>
  </si>
  <si>
    <t>公交费</t>
  </si>
  <si>
    <t>酱油</t>
  </si>
  <si>
    <t>礼品</t>
  </si>
  <si>
    <t>付话费等</t>
  </si>
  <si>
    <t>付魏恒兵安装款</t>
  </si>
  <si>
    <t>8/21付魏</t>
  </si>
  <si>
    <t>借华现金</t>
  </si>
  <si>
    <t>丹徒科创1台电梯安装费</t>
  </si>
  <si>
    <t>8/22开科创2台电梯安装费</t>
  </si>
  <si>
    <t>预收电梯安装款转入</t>
  </si>
  <si>
    <t>科创安装工资转入</t>
  </si>
  <si>
    <t>科创电梯安装费收入纳税费</t>
  </si>
  <si>
    <t>交科创安装收入营业税费</t>
  </si>
  <si>
    <t>基金</t>
  </si>
  <si>
    <t>转成本</t>
  </si>
  <si>
    <t>恒隆胜房地产开发公司电梯配件</t>
  </si>
  <si>
    <t>8/12交保险</t>
  </si>
  <si>
    <t>交印花税</t>
  </si>
  <si>
    <t>8/26付</t>
  </si>
  <si>
    <t>8/14付</t>
  </si>
  <si>
    <t>8/22付</t>
  </si>
  <si>
    <t>8/25付李景云</t>
  </si>
  <si>
    <t>8/21付李景云</t>
  </si>
  <si>
    <t>收到现金</t>
  </si>
  <si>
    <t>8/28付无锡东红电梯装潢厂</t>
  </si>
  <si>
    <t>8/28借华德明</t>
  </si>
  <si>
    <t>8/28借华德明付无锡东红电梯厂</t>
  </si>
  <si>
    <t>8/21付西德电梯配件</t>
  </si>
  <si>
    <t>8/29交易费</t>
  </si>
  <si>
    <t>8/28收上半年苏盐14/3/15-14/9/14</t>
  </si>
  <si>
    <t>收上半年苏盐14/3/15-14/9/14</t>
  </si>
  <si>
    <t>8/13付李景云</t>
  </si>
  <si>
    <t>八月份税</t>
  </si>
  <si>
    <t>现金解行</t>
  </si>
  <si>
    <t>9/2现金解行</t>
  </si>
  <si>
    <t>9/5提现</t>
  </si>
  <si>
    <t>9/5借</t>
  </si>
  <si>
    <t>借华付安装款</t>
  </si>
  <si>
    <t>电费及查档案费</t>
  </si>
  <si>
    <t>付油费等</t>
  </si>
  <si>
    <t>发八月份工资</t>
  </si>
  <si>
    <t>代扣保险金</t>
  </si>
  <si>
    <t>华垫付工资</t>
  </si>
  <si>
    <t>代垫付科创电梯检测费</t>
  </si>
  <si>
    <t>九月工资</t>
  </si>
  <si>
    <t>九月保险</t>
  </si>
  <si>
    <t>曹还款</t>
  </si>
  <si>
    <t>区财政电梯配件</t>
  </si>
  <si>
    <t>9/15区财政汇入电梯配件款</t>
  </si>
  <si>
    <t>三丰</t>
  </si>
  <si>
    <t>开上半年三丰14/3/28-14/9/27</t>
  </si>
  <si>
    <t>9/18收展销馆电梯整修费</t>
  </si>
  <si>
    <t>展销馆电梯整修费</t>
  </si>
  <si>
    <t>客饭</t>
  </si>
  <si>
    <t>无锡宝骏电梯安装费</t>
  </si>
  <si>
    <t>电梯安装费</t>
  </si>
  <si>
    <t>镇江亘生机械公司</t>
  </si>
  <si>
    <t>9/4号收镇江亘生机械公司配件款</t>
  </si>
  <si>
    <t>无锡宝骏电梯安装税款</t>
  </si>
  <si>
    <t>交无锡宝骏电梯安装税款</t>
  </si>
  <si>
    <t>9/4收科创公司电梯安装款</t>
  </si>
  <si>
    <t>交九月份五险</t>
  </si>
  <si>
    <t>9/11交职工九月份五险</t>
  </si>
  <si>
    <t>垃圾费等</t>
  </si>
  <si>
    <t>9/9交垃圾费等</t>
  </si>
  <si>
    <t>交八月份税款</t>
  </si>
  <si>
    <t>9/5交八月份税款</t>
  </si>
  <si>
    <t>交八月份</t>
  </si>
  <si>
    <t>9/5交八月份</t>
  </si>
  <si>
    <t>9/2付交易费</t>
  </si>
  <si>
    <t>9/3付交易费</t>
  </si>
  <si>
    <t>9/1付安装费</t>
  </si>
  <si>
    <t>9/9惠龙港打入</t>
  </si>
  <si>
    <t>收上半年惠龙14/4/10-14/10/9</t>
  </si>
  <si>
    <t>9/1存入</t>
  </si>
  <si>
    <t>华港7台电梯安装费转入欧晓行</t>
  </si>
  <si>
    <t>西德电梯配件</t>
  </si>
  <si>
    <t>浙江飞亚电梯一台</t>
  </si>
  <si>
    <t>电梯一台</t>
  </si>
  <si>
    <t>预付账款浙江飞亚转入</t>
  </si>
  <si>
    <t>转应付账款浙江飞亚</t>
  </si>
  <si>
    <t>永大电梯配件</t>
  </si>
  <si>
    <t>9/1付永大电梯配件</t>
  </si>
  <si>
    <t>中远轿厢主板等</t>
  </si>
  <si>
    <t>轿厢主板变频器等</t>
  </si>
  <si>
    <t>无锡宝骏电梯检测费</t>
  </si>
  <si>
    <t>付无锡宝骏电梯检测费</t>
  </si>
  <si>
    <t>9/24开票电梯两台安装费</t>
  </si>
  <si>
    <t>9/24开化龙港电梯两台安装费</t>
  </si>
  <si>
    <t>惠龙港两台电梯劳务税</t>
  </si>
  <si>
    <t>交惠龙港安装税费</t>
  </si>
  <si>
    <t>冲本月32#</t>
  </si>
  <si>
    <t>电梯两台</t>
  </si>
  <si>
    <t>惠龙港电梯两台</t>
  </si>
  <si>
    <t>转惠龙港应收账户</t>
  </si>
  <si>
    <t>预收账市县转入</t>
  </si>
  <si>
    <t>惠龙港两台电梯安装完工</t>
  </si>
  <si>
    <t>9/28现金解行</t>
  </si>
  <si>
    <t>9/28借华德明</t>
  </si>
  <si>
    <t>江苏兴力工程建设监理咨询公司</t>
  </si>
  <si>
    <t xml:space="preserve">9/28付江苏兴力投标保证金 </t>
  </si>
  <si>
    <t>江苏大学投票保证金</t>
  </si>
  <si>
    <t>9/26付江苏大学投票保证金</t>
  </si>
  <si>
    <t>9/26现金解入</t>
  </si>
  <si>
    <t>9/26借华付江大投票金</t>
  </si>
  <si>
    <t>电汇费</t>
  </si>
  <si>
    <t>9/29电汇</t>
  </si>
  <si>
    <t>9/26汇票</t>
  </si>
  <si>
    <t>结转电梯两台成本</t>
  </si>
  <si>
    <t>9/30江大投标未中退回</t>
  </si>
  <si>
    <t>9/21收利息</t>
  </si>
  <si>
    <t>9/25付收费</t>
  </si>
  <si>
    <t>9/20付转账费</t>
  </si>
  <si>
    <t>9/19汇李景云</t>
  </si>
  <si>
    <t>安装人员费用/惠龙港</t>
  </si>
  <si>
    <t>安装人员费用转出到成本住建部</t>
  </si>
  <si>
    <t>提九月份折旧</t>
  </si>
  <si>
    <t>从本年5/20/8#调入</t>
  </si>
  <si>
    <t>本年5/20/8#调出</t>
  </si>
  <si>
    <t>9/23网银打入井道整改费</t>
  </si>
  <si>
    <t>预付魏/惠龙港整改费（后填收条）</t>
  </si>
  <si>
    <t>出差无锡宝骏补贴费</t>
  </si>
  <si>
    <t>员工午餐费</t>
  </si>
  <si>
    <t>付差旅费及午餐费</t>
  </si>
  <si>
    <t>库存转入</t>
  </si>
  <si>
    <t>结转销售成本</t>
  </si>
  <si>
    <t>九月份地税</t>
  </si>
  <si>
    <t>转出</t>
  </si>
  <si>
    <t>转入</t>
  </si>
  <si>
    <t>差旅费</t>
  </si>
  <si>
    <t>借入</t>
  </si>
  <si>
    <t>付费用</t>
  </si>
  <si>
    <t>文件袋</t>
  </si>
  <si>
    <t>公交车</t>
  </si>
  <si>
    <t>井道整改配件</t>
  </si>
  <si>
    <t>付曹晓翠费用</t>
  </si>
  <si>
    <t>10-11现金存入</t>
  </si>
  <si>
    <t>10-11现金存入银行</t>
  </si>
  <si>
    <t>收三丰14/3/28-14/9/27维保费</t>
  </si>
  <si>
    <t>收千里马下半年14/6/19-14/12/18</t>
  </si>
  <si>
    <t>安装人员意外保险</t>
  </si>
  <si>
    <t>10/11付安装人员意外保险</t>
  </si>
  <si>
    <t>10/11借华德明交意外保险</t>
  </si>
  <si>
    <t>提现金</t>
  </si>
  <si>
    <t>10/8提现金发工资</t>
  </si>
  <si>
    <t>10/10收党校转账支票</t>
  </si>
  <si>
    <t>收澣英下半年14/7/25-15/1/24</t>
  </si>
  <si>
    <t>徐会移交现金差额（17202.76-11360.90)</t>
  </si>
  <si>
    <t>徐会移交现金差额</t>
  </si>
  <si>
    <t>调9/4#</t>
  </si>
  <si>
    <t>10/21现金解入</t>
  </si>
  <si>
    <t>10/21借华德明</t>
  </si>
  <si>
    <t>10/15网银转入</t>
  </si>
  <si>
    <t>10/20网银转入</t>
  </si>
  <si>
    <t>收到稳润下半年14/7/1-14/12/31</t>
  </si>
  <si>
    <t>收到房开下半年14/7/1-14/12/31</t>
  </si>
  <si>
    <t>西继迅达电梯两台</t>
  </si>
  <si>
    <t>西继迅达许昌电梯公司</t>
  </si>
  <si>
    <t>西继两台化龙港电梯运费</t>
  </si>
  <si>
    <t>10/12交易费</t>
  </si>
  <si>
    <t>10/22交易费</t>
  </si>
  <si>
    <t>10/23交易费</t>
  </si>
  <si>
    <t>10/21交增值税</t>
  </si>
  <si>
    <t>交九月份地税款</t>
  </si>
  <si>
    <t>10/16交九月份地税款</t>
  </si>
  <si>
    <t>交十月份职工保险</t>
  </si>
  <si>
    <t>10/17交十月份职工保险</t>
  </si>
  <si>
    <t>交九月份地税</t>
  </si>
  <si>
    <t>交地税</t>
  </si>
  <si>
    <t>10/16交地税</t>
  </si>
  <si>
    <t>10/27借</t>
  </si>
  <si>
    <t>10/27借华德明存行</t>
  </si>
  <si>
    <t>提取十月份工资</t>
  </si>
  <si>
    <t>提取十月份保险</t>
  </si>
  <si>
    <t>付九月份工资</t>
  </si>
  <si>
    <t>提十月份折旧</t>
  </si>
  <si>
    <t>10/22付西继迅达电梯配件</t>
  </si>
  <si>
    <t>10/28交易费</t>
  </si>
  <si>
    <t>10/27付无锡东红装璜</t>
  </si>
  <si>
    <t>10/21付劳务工保险</t>
  </si>
  <si>
    <t>李科福经手补来未开票税款</t>
  </si>
  <si>
    <t>11/5借华德明</t>
  </si>
  <si>
    <t>调9月份17#</t>
  </si>
  <si>
    <t>11/3收到电梯安装费</t>
  </si>
  <si>
    <t>11/3收科创安装费</t>
  </si>
  <si>
    <t>转出到应付账款</t>
  </si>
  <si>
    <t>从预付账款转入</t>
  </si>
  <si>
    <t>付电费</t>
  </si>
  <si>
    <t>无锡东红电梯装潢厂厅门</t>
  </si>
  <si>
    <t>转应付账款</t>
  </si>
  <si>
    <t>11/3付西继迅达电梯配件</t>
  </si>
  <si>
    <t>11/6提现</t>
  </si>
  <si>
    <t>无锡宝骏电梯技术费</t>
  </si>
  <si>
    <t>醋</t>
  </si>
  <si>
    <t>工具检测费</t>
  </si>
  <si>
    <t>华德明垫付</t>
  </si>
  <si>
    <t>电锤一把</t>
  </si>
  <si>
    <t>转到应付账款</t>
  </si>
  <si>
    <t>转应收账款</t>
  </si>
  <si>
    <t>从应付账款转入</t>
  </si>
  <si>
    <t>江大安装完工</t>
  </si>
  <si>
    <t>华实安装完工</t>
  </si>
  <si>
    <t>调整6月44#</t>
  </si>
  <si>
    <t>华实安装工资</t>
  </si>
  <si>
    <t>张涛保险</t>
  </si>
  <si>
    <t>调整2-5月份提工资</t>
  </si>
  <si>
    <t>调整2-5月份提福利</t>
  </si>
  <si>
    <t>冲回已提福利费</t>
  </si>
  <si>
    <t>转港务局维保押金</t>
  </si>
  <si>
    <t>从投标押金户转入</t>
  </si>
  <si>
    <t>转煤汽瓶押金</t>
  </si>
  <si>
    <t>投标户转入</t>
  </si>
  <si>
    <t>转其他应收款华德明</t>
  </si>
  <si>
    <t>从其他应付款转入</t>
  </si>
  <si>
    <t>调入应付工资</t>
  </si>
  <si>
    <t>预付账款转入</t>
  </si>
  <si>
    <t>多提冲回</t>
  </si>
  <si>
    <t>提11月份行政人员工资</t>
  </si>
  <si>
    <t>惠龙港安装完工</t>
  </si>
  <si>
    <t>电梯安装工资</t>
  </si>
  <si>
    <t>完工转应付账款</t>
  </si>
  <si>
    <t>科创电梯安装完工结工程款</t>
  </si>
  <si>
    <t>华港电梯安装完工</t>
  </si>
  <si>
    <t>转应付职工薪酬</t>
  </si>
  <si>
    <t>提10-11月安装人员工资</t>
  </si>
  <si>
    <t>结转安装工资</t>
  </si>
  <si>
    <t>电梯安装结束转成本</t>
  </si>
  <si>
    <t>无锡宝骏电梯安装工资及检测费</t>
  </si>
  <si>
    <t>10/11付安装款</t>
  </si>
  <si>
    <t>11/17垫付宝骏电梯安装款</t>
  </si>
  <si>
    <t>11/17付电梯安装款</t>
  </si>
  <si>
    <t>从宝骏/蒋维应转入</t>
  </si>
  <si>
    <t>转电梯安装工资</t>
  </si>
  <si>
    <t>转应付薪酬</t>
  </si>
  <si>
    <t>黄山南区大院3号电梯</t>
  </si>
  <si>
    <t>黄山南区大院4号电梯</t>
  </si>
  <si>
    <t>黄山南区大院5号电梯</t>
  </si>
  <si>
    <t>香江花城电梯安装工程</t>
  </si>
  <si>
    <t>香江花城电梯安装工程税款</t>
  </si>
  <si>
    <t>汽油</t>
  </si>
  <si>
    <t>结转镇江供电公司电梯成本</t>
  </si>
  <si>
    <t>从嘉钰项目转入</t>
  </si>
  <si>
    <t>工程完工安装款转入施工队</t>
  </si>
  <si>
    <t>整改井道</t>
  </si>
  <si>
    <t>11/21永大汇入</t>
  </si>
  <si>
    <t>11/21永大汇入押金</t>
  </si>
  <si>
    <t>11/4付城镇垃圾等费</t>
  </si>
  <si>
    <t>11/3汇李景云</t>
  </si>
  <si>
    <t>11/3汇出进电梯配件</t>
  </si>
  <si>
    <t>徐州电梯配件</t>
  </si>
  <si>
    <t>过渡户转入</t>
  </si>
  <si>
    <t>转电梯配件户</t>
  </si>
  <si>
    <t>11/3汇电梯配件款</t>
  </si>
  <si>
    <t>11/24提现金</t>
  </si>
  <si>
    <t>付欧前期安装款</t>
  </si>
  <si>
    <t>转入项目工程</t>
  </si>
  <si>
    <t>11/4交易费</t>
  </si>
  <si>
    <t>11/3解银行</t>
  </si>
  <si>
    <t>年月份：</t>
  </si>
  <si>
    <t>资 产 负 债 表</t>
  </si>
  <si>
    <t>单位:元</t>
  </si>
  <si>
    <t>项目</t>
  </si>
  <si>
    <t>行次</t>
  </si>
  <si>
    <t>年末数</t>
  </si>
  <si>
    <t>流动资产:</t>
  </si>
  <si>
    <t>流动负债:</t>
  </si>
  <si>
    <t>货币资金</t>
  </si>
  <si>
    <t>短期借款</t>
  </si>
  <si>
    <t>短期投资</t>
  </si>
  <si>
    <t>应付票据</t>
  </si>
  <si>
    <t>应收票据</t>
  </si>
  <si>
    <t>预付款项</t>
  </si>
  <si>
    <t>应收股利</t>
  </si>
  <si>
    <t>应收利息</t>
  </si>
  <si>
    <t>应付利息</t>
  </si>
  <si>
    <t xml:space="preserve">    应付利润</t>
  </si>
  <si>
    <t>存货</t>
  </si>
  <si>
    <t>其中：原材料</t>
  </si>
  <si>
    <t>其他流动负债</t>
  </si>
  <si>
    <t xml:space="preserve">      在产品</t>
  </si>
  <si>
    <t>流动负债合计</t>
  </si>
  <si>
    <t xml:space="preserve">      库存商品</t>
  </si>
  <si>
    <t>非流动负债:</t>
  </si>
  <si>
    <t xml:space="preserve">      周转材料</t>
  </si>
  <si>
    <t>长期借款</t>
  </si>
  <si>
    <t>其他流动资产</t>
  </si>
  <si>
    <t>长期应付款</t>
  </si>
  <si>
    <t>流动资产合计</t>
  </si>
  <si>
    <t>递延收益</t>
  </si>
  <si>
    <t>非流动资产:</t>
  </si>
  <si>
    <t>其他非流动负债</t>
  </si>
  <si>
    <t xml:space="preserve">    长期债券投资</t>
  </si>
  <si>
    <t>非流动负债合计</t>
  </si>
  <si>
    <t>长期股权投资</t>
  </si>
  <si>
    <t>负债合计</t>
  </si>
  <si>
    <t>固定资产原价</t>
  </si>
  <si>
    <t>减：累计折旧</t>
  </si>
  <si>
    <t>固定资产账面价值</t>
  </si>
  <si>
    <t>在建工程</t>
  </si>
  <si>
    <t>工程物资</t>
  </si>
  <si>
    <t>固定资产清理</t>
  </si>
  <si>
    <t>生物性生物资产</t>
  </si>
  <si>
    <t>所有者权益:</t>
  </si>
  <si>
    <t>无形资产</t>
  </si>
  <si>
    <t>开发支出</t>
  </si>
  <si>
    <t>资本公积</t>
  </si>
  <si>
    <t>长期待摊费用</t>
  </si>
  <si>
    <t>盈余公积</t>
  </si>
  <si>
    <t>其他非流动性资产</t>
  </si>
  <si>
    <t>非流动性资产合计</t>
  </si>
  <si>
    <t>所有者权益合计</t>
  </si>
  <si>
    <t>资产总计</t>
  </si>
  <si>
    <t>负债及所有权益合计</t>
  </si>
  <si>
    <t>单位负责人：</t>
  </si>
  <si>
    <t>制表：张新暖</t>
  </si>
  <si>
    <t>利润表</t>
  </si>
  <si>
    <t>本期金额</t>
  </si>
  <si>
    <t>累计金额</t>
  </si>
  <si>
    <t>一;营业收入</t>
  </si>
  <si>
    <t>减: 营业成本</t>
  </si>
  <si>
    <t xml:space="preserve"> 其中：消费税</t>
  </si>
  <si>
    <t xml:space="preserve">       营业税</t>
  </si>
  <si>
    <t xml:space="preserve">       城市维护建设税</t>
  </si>
  <si>
    <t xml:space="preserve">       资源税</t>
  </si>
  <si>
    <t xml:space="preserve">       土地增值税</t>
  </si>
  <si>
    <t xml:space="preserve">       城镇土地使用税.房产税.车船税印花税</t>
  </si>
  <si>
    <t xml:space="preserve">       教育费附加.矿产资源补偿费.排污费</t>
  </si>
  <si>
    <t>销售费用</t>
  </si>
  <si>
    <t xml:space="preserve">  其中:商品维修费</t>
  </si>
  <si>
    <t xml:space="preserve">       广告费和业务宣传费</t>
  </si>
  <si>
    <t xml:space="preserve">  其中:开办费</t>
  </si>
  <si>
    <t xml:space="preserve">       业务招待费</t>
  </si>
  <si>
    <t xml:space="preserve">       研究费用</t>
  </si>
  <si>
    <t xml:space="preserve">  其中:利息费用(收入以"-"号填列)</t>
  </si>
  <si>
    <t>加:投资收益(损失以"-"号填列)</t>
  </si>
  <si>
    <t>二;营业利润(亏损以"-"填列)</t>
  </si>
  <si>
    <t>加:其他业务利润</t>
  </si>
  <si>
    <t>加:营业外收入</t>
  </si>
  <si>
    <t xml:space="preserve">   其中:政府补助</t>
  </si>
  <si>
    <t>减:营业外支出</t>
  </si>
  <si>
    <t>其中:坏账损失</t>
  </si>
  <si>
    <t xml:space="preserve">     无法收回的长期债券投资损失</t>
  </si>
  <si>
    <t xml:space="preserve">     无法收回的长期股权投资损失</t>
  </si>
  <si>
    <t xml:space="preserve">     自然灾害等不可抗力因素造成的损失</t>
  </si>
  <si>
    <t xml:space="preserve">     税收滞纳金</t>
  </si>
  <si>
    <t>三;利润总(亏损以"-"填列)</t>
  </si>
  <si>
    <t>减:所得税费用</t>
  </si>
  <si>
    <t>四;净利润(净亏损以"-"填列)</t>
  </si>
  <si>
    <t>借方</t>
  </si>
  <si>
    <t>贷方</t>
  </si>
  <si>
    <t>借/贷</t>
  </si>
  <si>
    <t>余额</t>
  </si>
  <si>
    <t>摘 要</t>
  </si>
  <si>
    <t>借或
贷</t>
  </si>
  <si>
    <t>余 额</t>
  </si>
  <si>
    <t>汇总</t>
  </si>
  <si>
    <t>期初余额</t>
  </si>
  <si>
    <t xml:space="preserve"> 分  类  明  细  账</t>
  </si>
  <si>
    <t>科 目 名称</t>
  </si>
  <si>
    <t>1122</t>
  </si>
  <si>
    <t>列3</t>
  </si>
  <si>
    <t>列4</t>
  </si>
  <si>
    <t>明 细 账</t>
  </si>
  <si>
    <t>112202-应收账款-电梯安装/西德/东郡华庭</t>
  </si>
  <si>
    <t xml:space="preserve">             会计科目: 库存商品----燃料油</t>
  </si>
  <si>
    <t>代码：</t>
  </si>
  <si>
    <t>凭证
号</t>
  </si>
  <si>
    <t>摘   要</t>
  </si>
  <si>
    <t>√</t>
  </si>
  <si>
    <t>余数量</t>
  </si>
  <si>
    <t>余    额</t>
  </si>
  <si>
    <t>列5</t>
  </si>
  <si>
    <t>列1</t>
  </si>
  <si>
    <t>列2</t>
  </si>
  <si>
    <t>应交税费---增值税明细账</t>
  </si>
  <si>
    <t>借
贷</t>
  </si>
  <si>
    <t>合计：</t>
  </si>
  <si>
    <t>进项税额</t>
  </si>
  <si>
    <t>已交
税金</t>
  </si>
  <si>
    <t>转出未交
增值税</t>
  </si>
  <si>
    <t>减免税额</t>
  </si>
  <si>
    <t>销项税额</t>
  </si>
  <si>
    <t>进项税
额转出</t>
  </si>
  <si>
    <t>转出多交
增值税</t>
  </si>
  <si>
    <t>列6</t>
  </si>
  <si>
    <t>列7</t>
  </si>
  <si>
    <t>列8</t>
  </si>
  <si>
    <t>列9</t>
  </si>
  <si>
    <t>列10</t>
  </si>
  <si>
    <t>列102</t>
  </si>
  <si>
    <t>列11</t>
  </si>
  <si>
    <t>资产负债期初数</t>
  </si>
  <si>
    <t>资产负债期末数</t>
  </si>
  <si>
    <t>获取总账科目</t>
  </si>
  <si>
    <t>明细账余额</t>
  </si>
  <si>
    <t>'科目代码'</t>
  </si>
  <si>
    <t>A表</t>
  </si>
  <si>
    <t>B表</t>
  </si>
  <si>
    <t>zz</t>
  </si>
  <si>
    <t>kl</t>
  </si>
  <si>
    <t>1001</t>
  </si>
  <si>
    <t>'AB'</t>
  </si>
  <si>
    <t>'AC'</t>
  </si>
  <si>
    <t>'a'</t>
  </si>
  <si>
    <t>'F'</t>
  </si>
  <si>
    <t>Expr1000</t>
  </si>
  <si>
    <t>'借贷发生额'</t>
  </si>
  <si>
    <t>1002</t>
  </si>
  <si>
    <t>1123</t>
  </si>
  <si>
    <t>1221</t>
  </si>
  <si>
    <t>1402</t>
  </si>
  <si>
    <t>1405</t>
  </si>
  <si>
    <t>1601</t>
  </si>
  <si>
    <t>1602</t>
  </si>
  <si>
    <t>1777</t>
  </si>
  <si>
    <t>2202</t>
  </si>
  <si>
    <t>2203</t>
  </si>
  <si>
    <t>2211</t>
  </si>
  <si>
    <t>2221</t>
  </si>
  <si>
    <t>2241</t>
  </si>
  <si>
    <t>3001</t>
  </si>
  <si>
    <t>3104</t>
  </si>
  <si>
    <t>3103</t>
  </si>
  <si>
    <t>4401</t>
  </si>
  <si>
    <t>5001</t>
  </si>
  <si>
    <t>5301</t>
  </si>
  <si>
    <t>5401</t>
  </si>
  <si>
    <t>5403</t>
  </si>
  <si>
    <t>5602</t>
  </si>
  <si>
    <t>5603</t>
  </si>
  <si>
    <t>5711</t>
  </si>
  <si>
    <t>5801</t>
  </si>
  <si>
    <t>月份</t>
  </si>
  <si>
    <t>金额</t>
  </si>
  <si>
    <t>税额</t>
  </si>
  <si>
    <t>价税合计</t>
  </si>
  <si>
    <t>项 目</t>
  </si>
  <si>
    <t>纳税计算</t>
  </si>
  <si>
    <t>本月销售</t>
  </si>
  <si>
    <t>本月进货</t>
  </si>
  <si>
    <t>上月留低</t>
  </si>
  <si>
    <t>销项税额-进项税额-上期留抵额=应交税额（-）表示下月留抵税额</t>
  </si>
  <si>
    <t>计税金额</t>
  </si>
  <si>
    <t>税种</t>
  </si>
  <si>
    <t>应交地税</t>
  </si>
  <si>
    <t>城市维护费</t>
  </si>
  <si>
    <t>教育附加</t>
  </si>
  <si>
    <t>购销合同</t>
  </si>
  <si>
    <t>返回总账</t>
  </si>
  <si>
    <t xml:space="preserve">    上年结转</t>
  </si>
  <si>
    <t>平</t>
  </si>
  <si>
    <t>借</t>
  </si>
  <si>
    <t xml:space="preserve">             客户名称</t>
  </si>
  <si>
    <t>合同起始</t>
  </si>
  <si>
    <t>合同止期</t>
  </si>
  <si>
    <t>总价</t>
  </si>
  <si>
    <t>电梯</t>
  </si>
  <si>
    <t>上半年</t>
  </si>
  <si>
    <t>开票
日期</t>
  </si>
  <si>
    <t>上半年
已开票</t>
  </si>
  <si>
    <t>下半年</t>
  </si>
  <si>
    <t>下半年
已开票</t>
  </si>
  <si>
    <t>上开票
月-日/金额</t>
  </si>
  <si>
    <t>下开票
月-日/金额</t>
  </si>
  <si>
    <t>镇江市三丰润福记美食娱乐城有限公司</t>
  </si>
  <si>
    <t>15/3/27</t>
  </si>
  <si>
    <t>14/3/28-14/9/27</t>
  </si>
  <si>
    <t>14/9/28-15/3/27</t>
  </si>
  <si>
    <t>15/3/28→15/9/27</t>
  </si>
  <si>
    <t>15/9/28→16/3/27</t>
  </si>
  <si>
    <t>镇江市丹徒区财政局</t>
  </si>
  <si>
    <t>15/4/30</t>
  </si>
  <si>
    <t>14/5/1-14/10/31</t>
  </si>
  <si>
    <t>14/11/1-15/4/30</t>
  </si>
  <si>
    <t>15/5/1→15/10/31</t>
  </si>
  <si>
    <t>15/11/1→16/4/30</t>
  </si>
  <si>
    <t>江苏省苏盐连锁有限公司镇江分公司</t>
  </si>
  <si>
    <t>15/3/14</t>
  </si>
  <si>
    <t>14/3/15-14/9/14</t>
  </si>
  <si>
    <t>14/9/15-15/3/14</t>
  </si>
  <si>
    <t>15/3/15→15/9/14</t>
  </si>
  <si>
    <t>15/9/15→16/3/14</t>
  </si>
  <si>
    <t>镇江市物价局</t>
  </si>
  <si>
    <t>15/3/19</t>
  </si>
  <si>
    <t>14/3/20-14/9/19</t>
  </si>
  <si>
    <t>14/9/20-15/3/19</t>
  </si>
  <si>
    <t>15/3/20→15/9/19</t>
  </si>
  <si>
    <t>15/9/20→16/3/19</t>
  </si>
  <si>
    <t>镇江惠龙长江港务有限公司</t>
  </si>
  <si>
    <t>15/4/9</t>
  </si>
  <si>
    <t>14/4/10-14/10/9</t>
  </si>
  <si>
    <t>14/10/10-15/4/9</t>
  </si>
  <si>
    <t>15/4/10→15/10/9</t>
  </si>
  <si>
    <t>15/10/10→16/4/9</t>
  </si>
  <si>
    <t>镇江华港科技重工有限公司</t>
  </si>
  <si>
    <t>16/5/13</t>
  </si>
  <si>
    <t>14/5/15-14/11/14</t>
  </si>
  <si>
    <t>14/11/15-15/5/14</t>
  </si>
  <si>
    <t>15/5/15→15/11/14</t>
  </si>
  <si>
    <t>15/11/15→16/5/14</t>
  </si>
  <si>
    <t>镇江市丹徒区科创建设有限公司</t>
  </si>
  <si>
    <t>15/3/31</t>
  </si>
  <si>
    <t>14/4/1-14/9/30</t>
  </si>
  <si>
    <t>14/10/1-15/3/31</t>
  </si>
  <si>
    <t>15/4/1→15/9/30</t>
  </si>
  <si>
    <t>15/10/1→16/3/31</t>
  </si>
  <si>
    <t>镇江展销馆有限责任公司</t>
  </si>
  <si>
    <t>14/12/19</t>
  </si>
  <si>
    <t>13/12/20-14/6/19</t>
  </si>
  <si>
    <t>14/6/20-14/12/19</t>
  </si>
  <si>
    <t>14/12/20→14/6/19</t>
  </si>
  <si>
    <t>15/6/20→15/12/19</t>
  </si>
  <si>
    <t>江苏稳润光电有限公司</t>
  </si>
  <si>
    <t>14/12/31</t>
  </si>
  <si>
    <t>14/1/1-14/6/30</t>
  </si>
  <si>
    <t>14/7/1-14/12/31</t>
  </si>
  <si>
    <t>14/1/1→14/6/30</t>
  </si>
  <si>
    <t>15/7/1→15/12/31</t>
  </si>
  <si>
    <t>镇江丹徒新城瑞盛园餐饮中心</t>
  </si>
  <si>
    <t>14/8/31</t>
  </si>
  <si>
    <t>13/9/1-14/2/28</t>
  </si>
  <si>
    <t>上年已开</t>
  </si>
  <si>
    <t>14/3/1-14/8/31</t>
  </si>
  <si>
    <t>14/9/1→15/2/28</t>
  </si>
  <si>
    <t>15/3/1→15/8/31</t>
  </si>
  <si>
    <t>镇江港务集团有限公司</t>
  </si>
  <si>
    <t>15/6/9</t>
  </si>
  <si>
    <t>14/6/10-14/12/9</t>
  </si>
  <si>
    <t>14/12/10-15/6/9</t>
  </si>
  <si>
    <t>15/6/10→15/12/9</t>
  </si>
  <si>
    <t>15/12/10→16/6/9</t>
  </si>
  <si>
    <t>镇江新区房地产开发有限公司</t>
  </si>
  <si>
    <t>镇江市紫金物业管理有限公司</t>
  </si>
  <si>
    <t>14/10/31</t>
  </si>
  <si>
    <t>13/11/1-14/4/30</t>
  </si>
  <si>
    <t>14/11/1→15/4/30</t>
  </si>
  <si>
    <t>镇江市千里马装饰工程有限公司</t>
  </si>
  <si>
    <t>14/12/18</t>
  </si>
  <si>
    <t>13/12/19-14/6/18</t>
  </si>
  <si>
    <t>14/6/19-14/12/18</t>
  </si>
  <si>
    <t>14/12/19→15/6/18</t>
  </si>
  <si>
    <t>15/6/19→15/12/18</t>
  </si>
  <si>
    <t>镇江市瀚英楼宾馆</t>
  </si>
  <si>
    <t>16/1/24</t>
  </si>
  <si>
    <t>14/1/25-14/7/24</t>
  </si>
  <si>
    <t>14/7/25-15/1/24</t>
  </si>
  <si>
    <t>15/1/25→15/7/24</t>
  </si>
  <si>
    <t>15/7/25→16/1/24</t>
  </si>
  <si>
    <t>江苏西德电梯有限</t>
  </si>
  <si>
    <t>镇江市丹徒区供销合作总社</t>
  </si>
  <si>
    <t>免费一年</t>
  </si>
  <si>
    <t>15/3/18→15/9/17</t>
  </si>
  <si>
    <t>南京嘉运机电设备有限公司</t>
  </si>
  <si>
    <t>14-9-17/15-3-16</t>
  </si>
  <si>
    <t>15-3-17/15-9-16</t>
  </si>
  <si>
    <t>15-9-17→16-3-16</t>
  </si>
  <si>
    <t>16-3-17→16-9-16</t>
  </si>
  <si>
    <t>15/1/1→15/6/30</t>
  </si>
</sst>
</file>

<file path=xl/styles.xml><?xml version="1.0" encoding="utf-8"?>
<styleSheet xmlns="http://schemas.openxmlformats.org/spreadsheetml/2006/main">
  <numFmts count="8">
    <numFmt numFmtId="41" formatCode="_ * #,##0_ ;_ * \-#,##0_ ;_ * &quot;-&quot;_ ;_ @_ "/>
    <numFmt numFmtId="176" formatCode="_ \￥* #,##0_ ;_ \￥* \-#,##0_ ;_ \￥* &quot;-&quot;_ ;_ @_ "/>
    <numFmt numFmtId="43" formatCode="_ * #,##0.00_ ;_ * \-#,##0.00_ ;_ * &quot;-&quot;??_ ;_ @_ "/>
    <numFmt numFmtId="177" formatCode="_ \￥* #,##0.00_ ;_ \￥* \-#,##0.00_ ;_ \￥* &quot;-&quot;??_ ;_ @_ "/>
    <numFmt numFmtId="178" formatCode="_-* #,##0.00_-;\-* #,##0.00_-;_-* &quot;-&quot;??_-;_-@_-"/>
    <numFmt numFmtId="179" formatCode="0.00_ "/>
    <numFmt numFmtId="180" formatCode="_ * #,##0.0_ ;_ * \-#,##0.0_ ;_ * &quot;-&quot;?_ ;_ @_ "/>
    <numFmt numFmtId="181" formatCode="_-* #,##0.000_-;\-* #,##0.000_-;_-* &quot;-&quot;???_-;_-@_-"/>
  </numFmts>
  <fonts count="86">
    <font>
      <sz val="11"/>
      <color theme="1"/>
      <name val="Calibri"/>
      <charset val="134"/>
      <scheme val="minor"/>
    </font>
    <font>
      <sz val="10"/>
      <color theme="1"/>
      <name val="Calibri"/>
      <charset val="134"/>
      <scheme val="minor"/>
    </font>
    <font>
      <sz val="10"/>
      <color theme="1"/>
      <name val="Calibri"/>
      <charset val="134"/>
      <scheme val="minor"/>
    </font>
    <font>
      <b/>
      <sz val="10"/>
      <color rgb="FF0070C0"/>
      <name val="Calibri"/>
      <charset val="134"/>
      <scheme val="minor"/>
    </font>
    <font>
      <b/>
      <sz val="10"/>
      <color rgb="FFFF0000"/>
      <name val="Calibri"/>
      <charset val="134"/>
      <scheme val="minor"/>
    </font>
    <font>
      <sz val="11"/>
      <color rgb="FFFF00FF"/>
      <name val="Calibri"/>
      <charset val="134"/>
      <scheme val="minor"/>
    </font>
    <font>
      <sz val="11"/>
      <color rgb="FFFF0000"/>
      <name val="Calibri"/>
      <charset val="134"/>
      <scheme val="minor"/>
    </font>
    <font>
      <sz val="10"/>
      <color rgb="FFFF00FF"/>
      <name val="Calibri"/>
      <charset val="134"/>
      <scheme val="minor"/>
    </font>
    <font>
      <b/>
      <sz val="9"/>
      <color theme="0"/>
      <name val="Calibri"/>
      <charset val="134"/>
      <scheme val="minor"/>
    </font>
    <font>
      <sz val="9"/>
      <color theme="1"/>
      <name val="Calibri"/>
      <charset val="134"/>
      <scheme val="minor"/>
    </font>
    <font>
      <sz val="9"/>
      <color theme="1"/>
      <name val="Calibri"/>
      <charset val="134"/>
      <scheme val="minor"/>
    </font>
    <font>
      <b/>
      <sz val="9"/>
      <color theme="0"/>
      <name val="Calibri"/>
      <charset val="134"/>
      <scheme val="minor"/>
    </font>
    <font>
      <b/>
      <sz val="11"/>
      <name val="仿宋_GB2312"/>
      <charset val="134"/>
    </font>
    <font>
      <u/>
      <sz val="11"/>
      <name val="宋体"/>
      <charset val="134"/>
    </font>
    <font>
      <b/>
      <sz val="16"/>
      <name val="仿宋_GB2312"/>
      <charset val="134"/>
    </font>
    <font>
      <b/>
      <sz val="11"/>
      <name val="Calibri"/>
      <charset val="134"/>
      <scheme val="minor"/>
    </font>
    <font>
      <b/>
      <sz val="12"/>
      <color theme="1"/>
      <name val="Calibri"/>
      <charset val="134"/>
      <scheme val="minor"/>
    </font>
    <font>
      <sz val="10"/>
      <name val="仿宋_GB2312"/>
      <charset val="134"/>
    </font>
    <font>
      <b/>
      <sz val="12"/>
      <name val="宋体"/>
      <charset val="134"/>
    </font>
    <font>
      <b/>
      <sz val="12"/>
      <name val="宋体"/>
      <charset val="134"/>
    </font>
    <font>
      <sz val="10"/>
      <name val="宋体"/>
      <charset val="134"/>
    </font>
    <font>
      <b/>
      <sz val="11"/>
      <color rgb="FFFF0000"/>
      <name val="Calibri"/>
      <charset val="134"/>
      <scheme val="minor"/>
    </font>
    <font>
      <b/>
      <sz val="10"/>
      <name val="宋体"/>
      <charset val="134"/>
    </font>
    <font>
      <sz val="10"/>
      <color rgb="FF006100"/>
      <name val="Calibri"/>
      <charset val="134"/>
      <scheme val="minor"/>
    </font>
    <font>
      <sz val="10"/>
      <color rgb="FF9C6500"/>
      <name val="Calibri"/>
      <charset val="134"/>
      <scheme val="minor"/>
    </font>
    <font>
      <sz val="10"/>
      <color rgb="FF9C0006"/>
      <name val="Calibri"/>
      <charset val="134"/>
      <scheme val="minor"/>
    </font>
    <font>
      <b/>
      <sz val="10"/>
      <color indexed="14"/>
      <name val="宋体"/>
      <charset val="134"/>
    </font>
    <font>
      <b/>
      <sz val="10"/>
      <color indexed="10"/>
      <name val="宋体"/>
      <charset val="134"/>
    </font>
    <font>
      <sz val="10"/>
      <color indexed="12"/>
      <name val="宋体"/>
      <charset val="134"/>
    </font>
    <font>
      <b/>
      <sz val="11"/>
      <color theme="1"/>
      <name val="Calibri"/>
      <charset val="134"/>
      <scheme val="minor"/>
    </font>
    <font>
      <sz val="12"/>
      <color rgb="FF9C0006"/>
      <name val="Calibri"/>
      <charset val="134"/>
      <scheme val="minor"/>
    </font>
    <font>
      <b/>
      <sz val="11"/>
      <color theme="1"/>
      <name val="仿宋_GB2312"/>
      <charset val="134"/>
    </font>
    <font>
      <u/>
      <sz val="11"/>
      <color theme="10"/>
      <name val="宋体"/>
      <charset val="134"/>
    </font>
    <font>
      <b/>
      <sz val="16"/>
      <color rgb="FFFF0000"/>
      <name val="仿宋_GB2312"/>
      <charset val="134"/>
    </font>
    <font>
      <sz val="11"/>
      <name val="Calibri"/>
      <charset val="134"/>
      <scheme val="minor"/>
    </font>
    <font>
      <sz val="11"/>
      <color rgb="FF006100"/>
      <name val="Calibri"/>
      <charset val="134"/>
      <scheme val="minor"/>
    </font>
    <font>
      <sz val="11"/>
      <color rgb="FF006100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b/>
      <sz val="11"/>
      <color rgb="FFFF33CC"/>
      <name val="Calibri"/>
      <charset val="134"/>
      <scheme val="minor"/>
    </font>
    <font>
      <sz val="11"/>
      <color rgb="FF00B0F0"/>
      <name val="Calibri"/>
      <charset val="134"/>
      <scheme val="minor"/>
    </font>
    <font>
      <b/>
      <sz val="16"/>
      <color theme="1"/>
      <name val="仿宋_GB2312"/>
      <charset val="134"/>
    </font>
    <font>
      <sz val="10"/>
      <color theme="0"/>
      <name val="仿宋_GB2312"/>
      <charset val="134"/>
    </font>
    <font>
      <b/>
      <sz val="14"/>
      <color rgb="FFFF33CC"/>
      <name val="Calibri"/>
      <charset val="134"/>
      <scheme val="minor"/>
    </font>
    <font>
      <b/>
      <sz val="12"/>
      <color rgb="FF006100"/>
      <name val="Calibri"/>
      <charset val="134"/>
      <scheme val="minor"/>
    </font>
    <font>
      <sz val="12"/>
      <color theme="1"/>
      <name val="Calibri"/>
      <charset val="134"/>
      <scheme val="minor"/>
    </font>
    <font>
      <sz val="12"/>
      <color theme="1"/>
      <name val="Calibri"/>
      <charset val="134"/>
      <scheme val="minor"/>
    </font>
    <font>
      <b/>
      <sz val="16"/>
      <color rgb="FFFF33CC"/>
      <name val="仿宋_GB2312"/>
      <charset val="134"/>
    </font>
    <font>
      <b/>
      <sz val="12"/>
      <color theme="1"/>
      <name val="仿宋_GB2312"/>
      <charset val="134"/>
    </font>
    <font>
      <sz val="11"/>
      <color rgb="FF00B0F0"/>
      <name val="Calibri"/>
      <charset val="134"/>
      <scheme val="minor"/>
    </font>
    <font>
      <sz val="12"/>
      <color theme="0"/>
      <name val="仿宋_GB2312"/>
      <charset val="134"/>
    </font>
    <font>
      <b/>
      <sz val="12"/>
      <color theme="0"/>
      <name val="Calibri"/>
      <charset val="134"/>
      <scheme val="minor"/>
    </font>
    <font>
      <b/>
      <sz val="12"/>
      <color rgb="FF00B050"/>
      <name val="仿宋_GB2312"/>
      <charset val="134"/>
    </font>
    <font>
      <sz val="12"/>
      <color theme="1"/>
      <name val="仿宋_GB2312"/>
      <charset val="134"/>
    </font>
    <font>
      <sz val="16"/>
      <color theme="1"/>
      <name val="方正姚体"/>
      <charset val="134"/>
    </font>
    <font>
      <sz val="11"/>
      <color theme="1"/>
      <name val="Calibri"/>
      <charset val="134"/>
      <scheme val="minor"/>
    </font>
    <font>
      <sz val="11"/>
      <color theme="1"/>
      <name val="方正姚体"/>
      <charset val="134"/>
    </font>
    <font>
      <sz val="11"/>
      <color rgb="FF9C0006"/>
      <name val="Calibri"/>
      <charset val="134"/>
      <scheme val="minor"/>
    </font>
    <font>
      <b/>
      <sz val="14"/>
      <color rgb="FF0070C0"/>
      <name val="Calibri"/>
      <charset val="134"/>
      <scheme val="minor"/>
    </font>
    <font>
      <sz val="10"/>
      <color rgb="FF0070C0"/>
      <name val="Calibri"/>
      <charset val="134"/>
      <scheme val="minor"/>
    </font>
    <font>
      <sz val="9"/>
      <color rgb="FF0070C0"/>
      <name val="Calibri"/>
      <charset val="134"/>
      <scheme val="minor"/>
    </font>
    <font>
      <b/>
      <sz val="22"/>
      <color theme="1"/>
      <name val="Cambria"/>
      <charset val="134"/>
      <scheme val="major"/>
    </font>
    <font>
      <b/>
      <sz val="10"/>
      <color theme="1"/>
      <name val="Calibri"/>
      <charset val="134"/>
      <scheme val="minor"/>
    </font>
    <font>
      <sz val="10"/>
      <color theme="1"/>
      <name val="华文中宋"/>
      <charset val="134"/>
    </font>
    <font>
      <sz val="11"/>
      <color theme="1"/>
      <name val="华文中宋"/>
      <charset val="134"/>
    </font>
    <font>
      <sz val="14"/>
      <color theme="1"/>
      <name val="Calibri"/>
      <charset val="134"/>
      <scheme val="minor"/>
    </font>
    <font>
      <sz val="14"/>
      <color theme="1"/>
      <name val="Calibri"/>
      <charset val="134"/>
      <scheme val="minor"/>
    </font>
    <font>
      <sz val="11"/>
      <color indexed="8"/>
      <name val="宋体"/>
      <charset val="134"/>
    </font>
    <font>
      <sz val="12"/>
      <name val="宋体"/>
      <charset val="134"/>
    </font>
    <font>
      <sz val="12"/>
      <name val="方正仿宋_GBK"/>
      <charset val="134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1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theme="1"/>
      <name val="Calibri"/>
      <charset val="134"/>
      <scheme val="minor"/>
    </font>
    <font>
      <sz val="11"/>
      <color rgb="FF9C6500"/>
      <name val="Calibri"/>
      <charset val="134"/>
      <scheme val="minor"/>
    </font>
    <font>
      <b/>
      <sz val="18"/>
      <color theme="3"/>
      <name val="Calibri"/>
      <charset val="134"/>
      <scheme val="minor"/>
    </font>
    <font>
      <b/>
      <sz val="11"/>
      <color theme="1"/>
      <name val="Calibri"/>
      <charset val="0"/>
      <scheme val="minor"/>
    </font>
    <font>
      <sz val="11"/>
      <color rgb="FF3F3F76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3"/>
      <color theme="3"/>
      <name val="Calibri"/>
      <charset val="134"/>
      <scheme val="minor"/>
    </font>
    <font>
      <b/>
      <sz val="11"/>
      <color rgb="FF3F3F3F"/>
      <name val="Calibri"/>
      <charset val="0"/>
      <scheme val="minor"/>
    </font>
    <font>
      <b/>
      <sz val="15"/>
      <color theme="3"/>
      <name val="Calibri"/>
      <charset val="134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theme="8" tint="0.799981688894314"/>
        <bgColor theme="8" tint="0.799981688894314"/>
      </patternFill>
    </fill>
    <fill>
      <patternFill patternType="solid">
        <fgColor rgb="FF99FF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</fills>
  <borders count="1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/>
      <right/>
      <top/>
      <bottom style="double">
        <color rgb="FFFF0000"/>
      </bottom>
      <diagonal/>
    </border>
    <border>
      <left/>
      <right style="double">
        <color rgb="FFFF0000"/>
      </right>
      <top/>
      <bottom/>
      <diagonal/>
    </border>
    <border>
      <left/>
      <right style="thin">
        <color rgb="FF00B0F0"/>
      </right>
      <top style="double">
        <color rgb="FFFF0000"/>
      </top>
      <bottom style="thin">
        <color rgb="FFFF0000"/>
      </bottom>
      <diagonal/>
    </border>
    <border>
      <left style="thin">
        <color rgb="FF00B0F0"/>
      </left>
      <right style="thin">
        <color rgb="FFFF0000"/>
      </right>
      <top style="double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double">
        <color rgb="FFFF0000"/>
      </top>
      <bottom style="thin">
        <color rgb="FF00B0F0"/>
      </bottom>
      <diagonal/>
    </border>
    <border>
      <left style="thin">
        <color rgb="FFFF0000"/>
      </left>
      <right style="thin">
        <color rgb="FFFF0000"/>
      </right>
      <top/>
      <bottom style="thin">
        <color rgb="FF00B0F0"/>
      </bottom>
      <diagonal/>
    </border>
    <border>
      <left/>
      <right style="thin">
        <color rgb="FF00B0F0"/>
      </right>
      <top/>
      <bottom style="thin">
        <color rgb="FF00B0F0"/>
      </bottom>
      <diagonal/>
    </border>
    <border>
      <left style="thin">
        <color rgb="FF00B0F0"/>
      </left>
      <right style="thin">
        <color rgb="FF00B0F0"/>
      </right>
      <top/>
      <bottom style="thin">
        <color rgb="FF00B0F0"/>
      </bottom>
      <diagonal/>
    </border>
    <border>
      <left style="thin">
        <color rgb="FF00B0F0"/>
      </left>
      <right/>
      <top/>
      <bottom style="thin">
        <color rgb="FF00B0F0"/>
      </bottom>
      <diagonal/>
    </border>
    <border>
      <left/>
      <right style="thin">
        <color rgb="FF00B0F0"/>
      </right>
      <top style="thin">
        <color rgb="FFFF0000"/>
      </top>
      <bottom style="thin">
        <color rgb="FFFF0000"/>
      </bottom>
      <diagonal/>
    </border>
    <border>
      <left style="thin">
        <color rgb="FF00B0F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00B0F0"/>
      </top>
      <bottom style="thin">
        <color rgb="FFFF0000"/>
      </bottom>
      <diagonal/>
    </border>
    <border>
      <left/>
      <right style="thin">
        <color rgb="FF00B0F0"/>
      </right>
      <top style="thin">
        <color rgb="FF00B0F0"/>
      </top>
      <bottom style="thin">
        <color rgb="FFFF000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FF0000"/>
      </bottom>
      <diagonal/>
    </border>
    <border>
      <left style="thin">
        <color rgb="FF00B0F0"/>
      </left>
      <right/>
      <top style="thin">
        <color rgb="FF00B0F0"/>
      </top>
      <bottom style="thin">
        <color rgb="FFFF0000"/>
      </bottom>
      <diagonal/>
    </border>
    <border>
      <left/>
      <right style="thin">
        <color rgb="FF00B0F0"/>
      </right>
      <top/>
      <bottom/>
      <diagonal/>
    </border>
    <border>
      <left style="thin">
        <color rgb="FF00B0F0"/>
      </left>
      <right style="thin">
        <color rgb="FFFF0000"/>
      </right>
      <top/>
      <bottom/>
      <diagonal/>
    </border>
    <border>
      <left style="thin">
        <color rgb="FFFF0000"/>
      </left>
      <right style="thin">
        <color rgb="FFFF0000"/>
      </right>
      <top/>
      <bottom/>
      <diagonal/>
    </border>
    <border>
      <left style="thin">
        <color rgb="FF00B0F0"/>
      </left>
      <right style="thin">
        <color rgb="FF00B0F0"/>
      </right>
      <top/>
      <bottom/>
      <diagonal/>
    </border>
    <border>
      <left style="thin">
        <color rgb="FF00B0F0"/>
      </left>
      <right/>
      <top/>
      <bottom/>
      <diagonal/>
    </border>
    <border>
      <left/>
      <right/>
      <top style="double">
        <color rgb="FFFF0000"/>
      </top>
      <bottom/>
      <diagonal/>
    </border>
    <border>
      <left style="thin">
        <color rgb="FF00B0F0"/>
      </left>
      <right style="thin">
        <color rgb="FF00B0F0"/>
      </right>
      <top style="double">
        <color rgb="FFFF0000"/>
      </top>
      <bottom/>
      <diagonal/>
    </border>
    <border>
      <left style="thin">
        <color rgb="FF00B0F0"/>
      </left>
      <right style="thin">
        <color rgb="FFFF0000"/>
      </right>
      <top/>
      <bottom style="thin">
        <color rgb="FF00B0F0"/>
      </bottom>
      <diagonal/>
    </border>
    <border>
      <left style="thin">
        <color rgb="FFFF0000"/>
      </left>
      <right style="thin">
        <color rgb="FF00B0F0"/>
      </right>
      <top/>
      <bottom style="thin">
        <color rgb="FF00B0F0"/>
      </bottom>
      <diagonal/>
    </border>
    <border>
      <left style="thin">
        <color rgb="FF00B0F0"/>
      </left>
      <right style="double">
        <color rgb="FFFF0000"/>
      </right>
      <top/>
      <bottom style="thin">
        <color rgb="FF00B0F0"/>
      </bottom>
      <diagonal/>
    </border>
    <border>
      <left style="thin">
        <color rgb="FF00B0F0"/>
      </left>
      <right style="thin">
        <color rgb="FF00B0F0"/>
      </right>
      <top/>
      <bottom style="thin">
        <color rgb="FFFF0000"/>
      </bottom>
      <diagonal/>
    </border>
    <border>
      <left style="thin">
        <color rgb="FF00B0F0"/>
      </left>
      <right style="thin">
        <color rgb="FFFF0000"/>
      </right>
      <top style="thin">
        <color rgb="FF00B0F0"/>
      </top>
      <bottom style="thin">
        <color rgb="FFFF0000"/>
      </bottom>
      <diagonal/>
    </border>
    <border>
      <left style="thin">
        <color rgb="FFFF0000"/>
      </left>
      <right style="thin">
        <color rgb="FF00B0F0"/>
      </right>
      <top style="thin">
        <color rgb="FF00B0F0"/>
      </top>
      <bottom style="thin">
        <color rgb="FFFF0000"/>
      </bottom>
      <diagonal/>
    </border>
    <border>
      <left style="thin">
        <color rgb="FF00B0F0"/>
      </left>
      <right style="double">
        <color rgb="FFFF0000"/>
      </right>
      <top style="thin">
        <color rgb="FF00B0F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/>
      <right/>
      <top/>
      <bottom style="thin">
        <color rgb="FF00B0F0"/>
      </bottom>
      <diagonal/>
    </border>
    <border>
      <left style="thin">
        <color rgb="FFFF0000"/>
      </left>
      <right/>
      <top/>
      <bottom style="thin">
        <color rgb="FF00B0F0"/>
      </bottom>
      <diagonal/>
    </border>
    <border>
      <left style="thin">
        <color rgb="FFFF0000"/>
      </left>
      <right style="double">
        <color rgb="FFFF0000"/>
      </right>
      <top style="thin">
        <color rgb="FFFF0000"/>
      </top>
      <bottom style="thin">
        <color rgb="FF00B0F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 style="thin">
        <color rgb="FFFF0000"/>
      </left>
      <right/>
      <top/>
      <bottom style="thin">
        <color auto="1"/>
      </bottom>
      <diagonal/>
    </border>
    <border>
      <left style="thin">
        <color rgb="FFFF0000"/>
      </left>
      <right style="thin">
        <color rgb="FFFF0000"/>
      </right>
      <top/>
      <bottom style="thin">
        <color auto="1"/>
      </bottom>
      <diagonal/>
    </border>
    <border>
      <left style="thin">
        <color rgb="FFFF0000"/>
      </left>
      <right style="double">
        <color rgb="FFFF0000"/>
      </right>
      <top/>
      <bottom style="thin">
        <color auto="1"/>
      </bottom>
      <diagonal/>
    </border>
    <border>
      <left style="double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/>
      <top style="thin">
        <color auto="1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auto="1"/>
      </top>
      <bottom style="thin">
        <color rgb="FFFF0000"/>
      </bottom>
      <diagonal/>
    </border>
    <border>
      <left style="thin">
        <color rgb="FFFF0000"/>
      </left>
      <right style="double">
        <color rgb="FFFF0000"/>
      </right>
      <top style="thin">
        <color auto="1"/>
      </top>
      <bottom style="thin">
        <color rgb="FFFF0000"/>
      </bottom>
      <diagonal/>
    </border>
    <border>
      <left style="double">
        <color rgb="FFFF0000"/>
      </left>
      <right style="thin">
        <color rgb="FFFF0000"/>
      </right>
      <top/>
      <bottom style="thin">
        <color rgb="FF00B0F0"/>
      </bottom>
      <diagonal/>
    </border>
    <border>
      <left/>
      <right style="thin">
        <color rgb="FFFF0000"/>
      </right>
      <top/>
      <bottom style="thin">
        <color rgb="FF00B0F0"/>
      </bottom>
      <diagonal/>
    </border>
    <border>
      <left style="double">
        <color rgb="FFFF0000"/>
      </left>
      <right style="thin">
        <color rgb="FFFF0000"/>
      </right>
      <top style="thin">
        <color rgb="FF00B0F0"/>
      </top>
      <bottom style="thin">
        <color rgb="FF00B0F0"/>
      </bottom>
      <diagonal/>
    </border>
    <border>
      <left/>
      <right style="thin">
        <color rgb="FFFF0000"/>
      </right>
      <top style="thin">
        <color rgb="FF00B0F0"/>
      </top>
      <bottom style="thin">
        <color rgb="FF00B0F0"/>
      </bottom>
      <diagonal/>
    </border>
    <border>
      <left/>
      <right/>
      <top style="thin">
        <color rgb="FF00B0F0"/>
      </top>
      <bottom style="thin">
        <color rgb="FF00B0F0"/>
      </bottom>
      <diagonal/>
    </border>
    <border>
      <left style="thin">
        <color rgb="FFFF0000"/>
      </left>
      <right style="thin">
        <color rgb="FFFF0000"/>
      </right>
      <top style="thin">
        <color rgb="FF00B0F0"/>
      </top>
      <bottom style="thin">
        <color rgb="FF00B0F0"/>
      </bottom>
      <diagonal/>
    </border>
    <border>
      <left style="thin">
        <color rgb="FFFF0000"/>
      </left>
      <right style="double">
        <color rgb="FFFF0000"/>
      </right>
      <top style="thin">
        <color rgb="FF00B0F0"/>
      </top>
      <bottom style="thin">
        <color rgb="FF00B0F0"/>
      </bottom>
      <diagonal/>
    </border>
    <border>
      <left style="double">
        <color rgb="FFFF0000"/>
      </left>
      <right style="thin">
        <color rgb="FFFF0000"/>
      </right>
      <top style="thin">
        <color rgb="FF00B0F0"/>
      </top>
      <bottom style="thin">
        <color rgb="FFFF0000"/>
      </bottom>
      <diagonal/>
    </border>
    <border>
      <left/>
      <right style="thin">
        <color rgb="FFFF0000"/>
      </right>
      <top style="thin">
        <color rgb="FF00B0F0"/>
      </top>
      <bottom style="thin">
        <color rgb="FFFF0000"/>
      </bottom>
      <diagonal/>
    </border>
    <border>
      <left/>
      <right/>
      <top style="thin">
        <color rgb="FF00B0F0"/>
      </top>
      <bottom style="thin">
        <color rgb="FFFF0000"/>
      </bottom>
      <diagonal/>
    </border>
    <border>
      <left style="thin">
        <color rgb="FFFF0000"/>
      </left>
      <right style="double">
        <color rgb="FFFF0000"/>
      </right>
      <top style="thin">
        <color rgb="FF00B0F0"/>
      </top>
      <bottom style="thin">
        <color rgb="FFFF0000"/>
      </bottom>
      <diagonal/>
    </border>
    <border>
      <left/>
      <right style="thin">
        <color rgb="FFFF0000"/>
      </right>
      <top/>
      <bottom style="double">
        <color rgb="FFFF0000"/>
      </bottom>
      <diagonal/>
    </border>
    <border>
      <left style="thin">
        <color rgb="FFFF0000"/>
      </left>
      <right style="thin">
        <color rgb="FFFF0000"/>
      </right>
      <top/>
      <bottom style="double">
        <color rgb="FFFF0000"/>
      </bottom>
      <diagonal/>
    </border>
    <border>
      <left style="thin">
        <color rgb="FFFF0000"/>
      </left>
      <right style="double">
        <color rgb="FFFF0000"/>
      </right>
      <top/>
      <bottom style="double">
        <color rgb="FFFF0000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auto="1"/>
      </bottom>
      <diagonal/>
    </border>
    <border>
      <left/>
      <right style="thin">
        <color auto="1"/>
      </right>
      <top style="thin">
        <color rgb="FF000000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theme="8" tint="0.399975585192419"/>
      </top>
      <bottom style="thin">
        <color theme="8" tint="0.399975585192419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0">
    <xf numFmtId="0" fontId="0" fillId="0" borderId="0">
      <alignment vertical="center"/>
    </xf>
    <xf numFmtId="0" fontId="70" fillId="35" borderId="0" applyNumberFormat="0" applyBorder="0" applyAlignment="0" applyProtection="0">
      <alignment vertical="center"/>
    </xf>
    <xf numFmtId="43" fontId="75" fillId="0" borderId="0" applyFont="0" applyFill="0" applyBorder="0" applyAlignment="0" applyProtection="0">
      <alignment vertical="center"/>
    </xf>
    <xf numFmtId="41" fontId="75" fillId="0" borderId="0" applyFont="0" applyFill="0" applyBorder="0" applyAlignment="0" applyProtection="0">
      <alignment vertical="center"/>
    </xf>
    <xf numFmtId="176" fontId="75" fillId="0" borderId="0" applyFont="0" applyFill="0" applyBorder="0" applyAlignment="0" applyProtection="0">
      <alignment vertical="center"/>
    </xf>
    <xf numFmtId="0" fontId="67" fillId="0" borderId="0" applyBorder="0"/>
    <xf numFmtId="177" fontId="75" fillId="0" borderId="0" applyFont="0" applyFill="0" applyBorder="0" applyAlignment="0" applyProtection="0">
      <alignment vertical="center"/>
    </xf>
    <xf numFmtId="9" fontId="75" fillId="0" borderId="0" applyFont="0" applyFill="0" applyBorder="0" applyAlignment="0" applyProtection="0">
      <alignment vertical="center"/>
    </xf>
    <xf numFmtId="0" fontId="71" fillId="14" borderId="108" applyNumberFormat="0" applyAlignment="0" applyProtection="0">
      <alignment vertical="center"/>
    </xf>
    <xf numFmtId="0" fontId="83" fillId="0" borderId="113" applyNumberFormat="0" applyFill="0" applyAlignment="0" applyProtection="0">
      <alignment vertical="center"/>
    </xf>
    <xf numFmtId="0" fontId="75" fillId="32" borderId="115" applyNumberFormat="0" applyFont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69" fillId="29" borderId="0" applyNumberFormat="0" applyBorder="0" applyAlignment="0" applyProtection="0">
      <alignment vertical="center"/>
    </xf>
    <xf numFmtId="0" fontId="74" fillId="0" borderId="0" applyNumberFormat="0" applyFill="0" applyBorder="0" applyAlignment="0" applyProtection="0">
      <alignment vertical="center"/>
    </xf>
    <xf numFmtId="0" fontId="70" fillId="28" borderId="0" applyNumberFormat="0" applyBorder="0" applyAlignment="0" applyProtection="0">
      <alignment vertical="center"/>
    </xf>
    <xf numFmtId="0" fontId="82" fillId="0" borderId="0" applyNumberFormat="0" applyFill="0" applyBorder="0" applyAlignment="0" applyProtection="0">
      <alignment vertical="center"/>
    </xf>
    <xf numFmtId="0" fontId="70" fillId="27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85" fillId="0" borderId="113" applyNumberFormat="0" applyFill="0" applyAlignment="0" applyProtection="0">
      <alignment vertical="center"/>
    </xf>
    <xf numFmtId="0" fontId="72" fillId="0" borderId="109" applyNumberFormat="0" applyFill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9" fillId="25" borderId="111" applyNumberFormat="0" applyAlignment="0" applyProtection="0">
      <alignment vertical="center"/>
    </xf>
    <xf numFmtId="0" fontId="69" fillId="38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84" fillId="26" borderId="114" applyNumberFormat="0" applyAlignment="0" applyProtection="0">
      <alignment vertical="center"/>
    </xf>
    <xf numFmtId="0" fontId="70" fillId="18" borderId="0" applyNumberFormat="0" applyBorder="0" applyAlignment="0" applyProtection="0">
      <alignment vertical="center"/>
    </xf>
    <xf numFmtId="0" fontId="81" fillId="26" borderId="111" applyNumberFormat="0" applyAlignment="0" applyProtection="0">
      <alignment vertical="center"/>
    </xf>
    <xf numFmtId="0" fontId="80" fillId="0" borderId="112" applyNumberFormat="0" applyFill="0" applyAlignment="0" applyProtection="0">
      <alignment vertical="center"/>
    </xf>
    <xf numFmtId="0" fontId="78" fillId="0" borderId="110" applyNumberFormat="0" applyFill="0" applyAlignment="0" applyProtection="0">
      <alignment vertical="center"/>
    </xf>
    <xf numFmtId="0" fontId="56" fillId="4" borderId="0" applyNumberFormat="0" applyBorder="0" applyAlignment="0" applyProtection="0">
      <alignment vertical="center"/>
    </xf>
    <xf numFmtId="0" fontId="76" fillId="22" borderId="0" applyNumberFormat="0" applyBorder="0" applyAlignment="0" applyProtection="0">
      <alignment vertical="center"/>
    </xf>
    <xf numFmtId="0" fontId="69" fillId="21" borderId="0" applyNumberFormat="0" applyBorder="0" applyAlignment="0" applyProtection="0">
      <alignment vertical="center"/>
    </xf>
    <xf numFmtId="0" fontId="70" fillId="13" borderId="0" applyNumberFormat="0" applyBorder="0" applyAlignment="0" applyProtection="0">
      <alignment vertical="center"/>
    </xf>
    <xf numFmtId="0" fontId="69" fillId="17" borderId="0" applyNumberFormat="0" applyBorder="0" applyAlignment="0" applyProtection="0">
      <alignment vertical="center"/>
    </xf>
    <xf numFmtId="0" fontId="69" fillId="12" borderId="0" applyNumberFormat="0" applyBorder="0" applyAlignment="0" applyProtection="0">
      <alignment vertical="center"/>
    </xf>
    <xf numFmtId="0" fontId="70" fillId="31" borderId="0" applyNumberFormat="0" applyBorder="0" applyAlignment="0" applyProtection="0">
      <alignment vertical="center"/>
    </xf>
    <xf numFmtId="0" fontId="70" fillId="20" borderId="0" applyNumberFormat="0" applyBorder="0" applyAlignment="0" applyProtection="0">
      <alignment vertical="center"/>
    </xf>
    <xf numFmtId="0" fontId="69" fillId="37" borderId="0" applyNumberFormat="0" applyBorder="0" applyAlignment="0" applyProtection="0">
      <alignment vertical="center"/>
    </xf>
    <xf numFmtId="0" fontId="69" fillId="24" borderId="0" applyNumberFormat="0" applyBorder="0" applyAlignment="0" applyProtection="0">
      <alignment vertical="center"/>
    </xf>
    <xf numFmtId="0" fontId="70" fillId="16" borderId="0" applyNumberFormat="0" applyBorder="0" applyAlignment="0" applyProtection="0">
      <alignment vertical="center"/>
    </xf>
    <xf numFmtId="0" fontId="69" fillId="19" borderId="0" applyNumberFormat="0" applyBorder="0" applyAlignment="0" applyProtection="0">
      <alignment vertical="center"/>
    </xf>
    <xf numFmtId="0" fontId="70" fillId="15" borderId="0" applyNumberFormat="0" applyBorder="0" applyAlignment="0" applyProtection="0">
      <alignment vertical="center"/>
    </xf>
    <xf numFmtId="0" fontId="70" fillId="23" borderId="0" applyNumberFormat="0" applyBorder="0" applyAlignment="0" applyProtection="0">
      <alignment vertical="center"/>
    </xf>
    <xf numFmtId="0" fontId="69" fillId="34" borderId="0" applyNumberFormat="0" applyBorder="0" applyAlignment="0" applyProtection="0">
      <alignment vertical="center"/>
    </xf>
    <xf numFmtId="0" fontId="0" fillId="7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69" fillId="11" borderId="0" applyNumberFormat="0" applyBorder="0" applyAlignment="0" applyProtection="0">
      <alignment vertical="center"/>
    </xf>
    <xf numFmtId="0" fontId="70" fillId="36" borderId="0" applyNumberFormat="0" applyBorder="0" applyAlignment="0" applyProtection="0">
      <alignment vertical="center"/>
    </xf>
    <xf numFmtId="0" fontId="69" fillId="33" borderId="0" applyNumberFormat="0" applyBorder="0" applyAlignment="0" applyProtection="0">
      <alignment vertical="center"/>
    </xf>
  </cellStyleXfs>
  <cellXfs count="390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>
      <alignment vertical="center"/>
    </xf>
    <xf numFmtId="14" fontId="2" fillId="0" borderId="1" xfId="0" applyNumberFormat="1" applyFont="1" applyBorder="1" applyAlignment="1">
      <alignment horizontal="left" vertical="center"/>
    </xf>
    <xf numFmtId="14" fontId="3" fillId="0" borderId="1" xfId="0" applyNumberFormat="1" applyFont="1" applyBorder="1" applyAlignment="1">
      <alignment horizontal="left" vertical="center"/>
    </xf>
    <xf numFmtId="0" fontId="4" fillId="0" borderId="1" xfId="0" applyFont="1" applyBorder="1">
      <alignment vertical="center"/>
    </xf>
    <xf numFmtId="14" fontId="3" fillId="2" borderId="1" xfId="0" applyNumberFormat="1" applyFont="1" applyFill="1" applyBorder="1" applyAlignment="1">
      <alignment horizontal="left" vertical="center"/>
    </xf>
    <xf numFmtId="0" fontId="4" fillId="2" borderId="1" xfId="0" applyFont="1" applyFill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14" fontId="3" fillId="0" borderId="1" xfId="0" applyNumberFormat="1" applyFont="1" applyBorder="1">
      <alignment vertical="center"/>
    </xf>
    <xf numFmtId="0" fontId="7" fillId="0" borderId="1" xfId="0" applyFont="1" applyBorder="1" applyAlignment="1">
      <alignment horizontal="center" vertical="center" wrapText="1" shrinkToFit="1"/>
    </xf>
    <xf numFmtId="0" fontId="7" fillId="0" borderId="1" xfId="0" applyFont="1" applyBorder="1" applyAlignment="1">
      <alignment horizontal="center" vertical="center" shrinkToFit="1"/>
    </xf>
    <xf numFmtId="14" fontId="3" fillId="2" borderId="1" xfId="0" applyNumberFormat="1" applyFont="1" applyFill="1" applyBorder="1">
      <alignment vertical="center"/>
    </xf>
    <xf numFmtId="0" fontId="1" fillId="0" borderId="0" xfId="0" applyFont="1" applyAlignment="1">
      <alignment horizontal="center" vertical="center" shrinkToFit="1"/>
    </xf>
    <xf numFmtId="0" fontId="8" fillId="3" borderId="2" xfId="0" applyFont="1" applyFill="1" applyBorder="1" applyAlignment="1">
      <alignment horizontal="left" vertical="center"/>
    </xf>
    <xf numFmtId="0" fontId="8" fillId="3" borderId="3" xfId="0" applyFont="1" applyFill="1" applyBorder="1" applyAlignment="1">
      <alignment horizontal="left" vertical="center"/>
    </xf>
    <xf numFmtId="0" fontId="8" fillId="3" borderId="3" xfId="0" applyFont="1" applyFill="1" applyBorder="1" applyAlignment="1">
      <alignment horizontal="left" vertical="center" shrinkToFit="1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 shrinkToFit="1"/>
    </xf>
    <xf numFmtId="0" fontId="10" fillId="0" borderId="0" xfId="0" applyFont="1">
      <alignment vertical="center"/>
    </xf>
    <xf numFmtId="0" fontId="10" fillId="0" borderId="0" xfId="0" applyFont="1" applyAlignment="1">
      <alignment vertical="center" shrinkToFit="1"/>
    </xf>
    <xf numFmtId="0" fontId="10" fillId="0" borderId="0" xfId="0" applyNumberFormat="1" applyFont="1">
      <alignment vertical="center"/>
    </xf>
    <xf numFmtId="0" fontId="11" fillId="3" borderId="3" xfId="0" applyFont="1" applyFill="1" applyBorder="1" applyAlignment="1">
      <alignment horizontal="left" vertical="center"/>
    </xf>
    <xf numFmtId="0" fontId="11" fillId="3" borderId="3" xfId="0" applyNumberFormat="1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Border="1">
      <alignment vertical="center"/>
    </xf>
    <xf numFmtId="0" fontId="10" fillId="0" borderId="0" xfId="0" applyFont="1" applyBorder="1" applyAlignment="1">
      <alignment vertical="center" shrinkToFit="1"/>
    </xf>
    <xf numFmtId="0" fontId="10" fillId="0" borderId="0" xfId="0" applyNumberFormat="1" applyFont="1" applyBorder="1">
      <alignment vertical="center"/>
    </xf>
    <xf numFmtId="0" fontId="10" fillId="0" borderId="0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12" fillId="0" borderId="0" xfId="0" applyFont="1" applyFill="1" applyBorder="1" applyAlignment="1">
      <alignment horizontal="center" vertical="center"/>
    </xf>
    <xf numFmtId="0" fontId="13" fillId="0" borderId="0" xfId="1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15" fillId="0" borderId="5" xfId="0" applyFont="1" applyFill="1" applyBorder="1" applyAlignment="1">
      <alignment horizontal="center" vertical="center"/>
    </xf>
    <xf numFmtId="0" fontId="15" fillId="0" borderId="5" xfId="0" applyFont="1" applyFill="1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4" xfId="0" applyFont="1" applyBorder="1">
      <alignment vertical="center"/>
    </xf>
    <xf numFmtId="0" fontId="2" fillId="0" borderId="14" xfId="0" applyFont="1" applyBorder="1">
      <alignment vertical="center"/>
    </xf>
    <xf numFmtId="178" fontId="2" fillId="0" borderId="14" xfId="0" applyNumberFormat="1" applyFont="1" applyBorder="1">
      <alignment vertical="center"/>
    </xf>
    <xf numFmtId="0" fontId="2" fillId="0" borderId="15" xfId="0" applyFont="1" applyBorder="1" applyAlignment="1">
      <alignment horizontal="center" vertical="center"/>
    </xf>
    <xf numFmtId="178" fontId="2" fillId="0" borderId="1" xfId="0" applyNumberFormat="1" applyFont="1" applyBorder="1">
      <alignment vertical="center"/>
    </xf>
    <xf numFmtId="0" fontId="2" fillId="0" borderId="16" xfId="0" applyFont="1" applyBorder="1" applyAlignment="1">
      <alignment horizontal="center" vertical="center"/>
    </xf>
    <xf numFmtId="0" fontId="2" fillId="0" borderId="17" xfId="0" applyFont="1" applyBorder="1">
      <alignment vertical="center"/>
    </xf>
    <xf numFmtId="0" fontId="2" fillId="0" borderId="12" xfId="0" applyFont="1" applyBorder="1">
      <alignment vertical="center"/>
    </xf>
    <xf numFmtId="178" fontId="2" fillId="0" borderId="12" xfId="0" applyNumberFormat="1" applyFont="1" applyBorder="1">
      <alignment vertical="center"/>
    </xf>
    <xf numFmtId="0" fontId="16" fillId="0" borderId="18" xfId="0" applyFont="1" applyBorder="1">
      <alignment vertical="center"/>
    </xf>
    <xf numFmtId="0" fontId="0" fillId="0" borderId="18" xfId="0" applyBorder="1">
      <alignment vertical="center"/>
    </xf>
    <xf numFmtId="0" fontId="0" fillId="0" borderId="8" xfId="0" applyBorder="1">
      <alignment vertical="center"/>
    </xf>
    <xf numFmtId="0" fontId="17" fillId="0" borderId="0" xfId="0" applyFont="1" applyFill="1" applyBorder="1" applyAlignment="1">
      <alignment vertical="center"/>
    </xf>
    <xf numFmtId="0" fontId="0" fillId="0" borderId="19" xfId="0" applyBorder="1" applyAlignment="1">
      <alignment horizontal="center" vertical="center"/>
    </xf>
    <xf numFmtId="0" fontId="1" fillId="0" borderId="9" xfId="0" applyNumberFormat="1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" fillId="0" borderId="12" xfId="0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43" fontId="2" fillId="0" borderId="14" xfId="0" applyNumberFormat="1" applyFont="1" applyBorder="1">
      <alignment vertical="center"/>
    </xf>
    <xf numFmtId="0" fontId="2" fillId="0" borderId="14" xfId="0" applyFont="1" applyBorder="1" applyAlignment="1">
      <alignment horizontal="center" vertical="center"/>
    </xf>
    <xf numFmtId="0" fontId="2" fillId="0" borderId="14" xfId="0" applyNumberFormat="1" applyFont="1" applyBorder="1" applyAlignment="1">
      <alignment horizontal="right" vertical="center"/>
    </xf>
    <xf numFmtId="178" fontId="2" fillId="0" borderId="22" xfId="0" applyNumberFormat="1" applyFont="1" applyBorder="1" applyAlignment="1">
      <alignment horizontal="center" vertical="center"/>
    </xf>
    <xf numFmtId="178" fontId="2" fillId="0" borderId="23" xfId="0" applyNumberFormat="1" applyFont="1" applyBorder="1">
      <alignment vertical="center"/>
    </xf>
    <xf numFmtId="178" fontId="2" fillId="0" borderId="21" xfId="0" applyNumberFormat="1" applyFont="1" applyBorder="1">
      <alignment vertical="center"/>
    </xf>
    <xf numFmtId="0" fontId="0" fillId="0" borderId="18" xfId="0" applyBorder="1" applyAlignment="1">
      <alignment horizontal="center" vertical="center"/>
    </xf>
    <xf numFmtId="0" fontId="0" fillId="0" borderId="24" xfId="0" applyBorder="1">
      <alignment vertical="center"/>
    </xf>
    <xf numFmtId="0" fontId="18" fillId="0" borderId="0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20" fillId="0" borderId="1" xfId="0" applyFont="1" applyFill="1" applyBorder="1" applyAlignment="1">
      <alignment horizontal="center" vertical="center"/>
    </xf>
    <xf numFmtId="43" fontId="20" fillId="0" borderId="1" xfId="0" applyNumberFormat="1" applyFont="1" applyFill="1" applyBorder="1" applyAlignment="1">
      <alignment horizontal="center" vertical="center"/>
    </xf>
    <xf numFmtId="0" fontId="21" fillId="0" borderId="1" xfId="24" applyFont="1" applyFill="1" applyBorder="1" applyAlignment="1">
      <alignment horizontal="center" vertical="center"/>
    </xf>
    <xf numFmtId="43" fontId="20" fillId="0" borderId="1" xfId="0" applyNumberFormat="1" applyFont="1" applyFill="1" applyBorder="1" applyAlignment="1">
      <alignment horizontal="right" vertical="center"/>
    </xf>
    <xf numFmtId="43" fontId="22" fillId="0" borderId="1" xfId="0" applyNumberFormat="1" applyFont="1" applyFill="1" applyBorder="1" applyAlignment="1">
      <alignment horizontal="right" vertical="center"/>
    </xf>
    <xf numFmtId="0" fontId="22" fillId="0" borderId="1" xfId="0" applyFont="1" applyFill="1" applyBorder="1" applyAlignment="1">
      <alignment horizontal="center" vertical="center"/>
    </xf>
    <xf numFmtId="43" fontId="23" fillId="0" borderId="1" xfId="24" applyNumberFormat="1" applyFont="1" applyFill="1" applyBorder="1">
      <alignment vertical="center"/>
    </xf>
    <xf numFmtId="43" fontId="22" fillId="0" borderId="1" xfId="0" applyNumberFormat="1" applyFont="1" applyFill="1" applyBorder="1">
      <alignment vertical="center"/>
    </xf>
    <xf numFmtId="0" fontId="2" fillId="0" borderId="1" xfId="0" applyFont="1" applyFill="1" applyBorder="1">
      <alignment vertical="center"/>
    </xf>
    <xf numFmtId="43" fontId="24" fillId="0" borderId="1" xfId="31" applyNumberFormat="1" applyFont="1" applyFill="1" applyBorder="1">
      <alignment vertical="center"/>
    </xf>
    <xf numFmtId="43" fontId="23" fillId="0" borderId="1" xfId="24" applyNumberFormat="1" applyFont="1" applyFill="1" applyBorder="1" applyAlignment="1">
      <alignment horizontal="right" vertical="center"/>
    </xf>
    <xf numFmtId="43" fontId="24" fillId="0" borderId="1" xfId="31" applyNumberFormat="1" applyFont="1" applyFill="1" applyBorder="1" applyAlignment="1">
      <alignment horizontal="right" vertical="center"/>
    </xf>
    <xf numFmtId="14" fontId="20" fillId="0" borderId="1" xfId="0" applyNumberFormat="1" applyFont="1" applyFill="1" applyBorder="1">
      <alignment vertical="center"/>
    </xf>
    <xf numFmtId="43" fontId="25" fillId="0" borderId="1" xfId="30" applyNumberFormat="1" applyFont="1" applyFill="1" applyBorder="1">
      <alignment vertical="center"/>
    </xf>
    <xf numFmtId="43" fontId="26" fillId="0" borderId="1" xfId="0" applyNumberFormat="1" applyFont="1" applyFill="1" applyBorder="1">
      <alignment vertical="center"/>
    </xf>
    <xf numFmtId="43" fontId="20" fillId="0" borderId="1" xfId="0" applyNumberFormat="1" applyFont="1" applyFill="1" applyBorder="1">
      <alignment vertical="center"/>
    </xf>
    <xf numFmtId="58" fontId="20" fillId="0" borderId="1" xfId="0" applyNumberFormat="1" applyFont="1" applyFill="1" applyBorder="1" applyAlignment="1">
      <alignment horizontal="center" vertical="center"/>
    </xf>
    <xf numFmtId="43" fontId="25" fillId="0" borderId="1" xfId="30" applyNumberFormat="1" applyFont="1" applyFill="1" applyBorder="1" applyAlignment="1">
      <alignment horizontal="right" vertical="center"/>
    </xf>
    <xf numFmtId="0" fontId="20" fillId="0" borderId="1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right" vertical="center"/>
    </xf>
    <xf numFmtId="0" fontId="28" fillId="0" borderId="1" xfId="0" applyFont="1" applyFill="1" applyBorder="1" applyAlignment="1">
      <alignment horizontal="center" vertical="center"/>
    </xf>
    <xf numFmtId="0" fontId="20" fillId="0" borderId="1" xfId="0" applyFont="1" applyFill="1" applyBorder="1">
      <alignment vertical="center"/>
    </xf>
    <xf numFmtId="179" fontId="20" fillId="0" borderId="1" xfId="0" applyNumberFormat="1" applyFont="1" applyFill="1" applyBorder="1">
      <alignment vertical="center"/>
    </xf>
    <xf numFmtId="180" fontId="22" fillId="0" borderId="1" xfId="0" applyNumberFormat="1" applyFont="1" applyFill="1" applyBorder="1">
      <alignment vertical="center"/>
    </xf>
    <xf numFmtId="43" fontId="0" fillId="0" borderId="0" xfId="0" applyNumberFormat="1">
      <alignment vertical="center"/>
    </xf>
    <xf numFmtId="0" fontId="29" fillId="0" borderId="0" xfId="0" applyFont="1" applyAlignment="1">
      <alignment horizontal="center" vertical="center"/>
    </xf>
    <xf numFmtId="0" fontId="29" fillId="0" borderId="0" xfId="0" applyFont="1">
      <alignment vertical="center"/>
    </xf>
    <xf numFmtId="0" fontId="0" fillId="0" borderId="0" xfId="0" applyAlignment="1">
      <alignment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0" fillId="4" borderId="0" xfId="30" applyFont="1" applyAlignment="1">
      <alignment horizontal="center" vertical="center"/>
    </xf>
    <xf numFmtId="0" fontId="23" fillId="5" borderId="1" xfId="24" applyFont="1" applyBorder="1" applyAlignment="1">
      <alignment horizontal="center" vertical="center"/>
    </xf>
    <xf numFmtId="0" fontId="23" fillId="5" borderId="1" xfId="24" applyFont="1" applyBorder="1" applyAlignment="1">
      <alignment horizontal="center" vertical="center" wrapText="1"/>
    </xf>
    <xf numFmtId="0" fontId="23" fillId="5" borderId="1" xfId="24" applyFont="1" applyBorder="1">
      <alignment vertical="center"/>
    </xf>
    <xf numFmtId="0" fontId="2" fillId="0" borderId="0" xfId="0" applyNumberFormat="1" applyFont="1">
      <alignment vertical="center"/>
    </xf>
    <xf numFmtId="0" fontId="23" fillId="5" borderId="1" xfId="24" applyFont="1" applyBorder="1" applyAlignment="1">
      <alignment vertical="center"/>
    </xf>
    <xf numFmtId="178" fontId="23" fillId="5" borderId="1" xfId="24" applyNumberFormat="1" applyFont="1" applyBorder="1">
      <alignment vertical="center"/>
    </xf>
    <xf numFmtId="0" fontId="2" fillId="0" borderId="0" xfId="0" applyNumberFormat="1" applyFont="1" applyAlignment="1">
      <alignment horizontal="center" vertical="center"/>
    </xf>
    <xf numFmtId="178" fontId="2" fillId="0" borderId="0" xfId="0" applyNumberFormat="1" applyFont="1">
      <alignment vertical="center"/>
    </xf>
    <xf numFmtId="0" fontId="0" fillId="0" borderId="0" xfId="0" applyNumberFormat="1" applyAlignment="1">
      <alignment horizontal="center" vertical="center"/>
    </xf>
    <xf numFmtId="0" fontId="31" fillId="0" borderId="0" xfId="0" applyFont="1" applyBorder="1" applyAlignment="1">
      <alignment vertical="center"/>
    </xf>
    <xf numFmtId="0" fontId="32" fillId="6" borderId="0" xfId="11" applyFill="1" applyAlignment="1" applyProtection="1">
      <alignment vertical="center"/>
    </xf>
    <xf numFmtId="0" fontId="33" fillId="0" borderId="25" xfId="0" applyFont="1" applyBorder="1" applyAlignment="1">
      <alignment horizontal="center" vertical="center"/>
    </xf>
    <xf numFmtId="0" fontId="34" fillId="6" borderId="0" xfId="24" applyFont="1" applyFill="1" applyBorder="1" applyAlignment="1">
      <alignment vertical="center"/>
    </xf>
    <xf numFmtId="0" fontId="35" fillId="6" borderId="0" xfId="24" applyFill="1" applyBorder="1" applyAlignment="1">
      <alignment horizontal="center" vertical="center"/>
    </xf>
    <xf numFmtId="0" fontId="36" fillId="6" borderId="0" xfId="24" applyFont="1" applyFill="1" applyBorder="1" applyAlignment="1">
      <alignment vertical="center"/>
    </xf>
    <xf numFmtId="0" fontId="37" fillId="0" borderId="25" xfId="0" applyFont="1" applyBorder="1" applyAlignment="1">
      <alignment vertical="center"/>
    </xf>
    <xf numFmtId="0" fontId="37" fillId="0" borderId="25" xfId="0" applyFont="1" applyBorder="1" applyAlignment="1">
      <alignment horizontal="center" vertical="center"/>
    </xf>
    <xf numFmtId="0" fontId="38" fillId="0" borderId="25" xfId="0" applyFont="1" applyBorder="1" applyAlignment="1">
      <alignment horizontal="center" vertical="center"/>
    </xf>
    <xf numFmtId="0" fontId="0" fillId="0" borderId="26" xfId="0" applyBorder="1">
      <alignment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" fillId="0" borderId="29" xfId="0" applyFont="1" applyBorder="1" applyAlignment="1">
      <alignment horizontal="center" vertical="center" wrapText="1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42" xfId="0" applyBorder="1">
      <alignment vertical="center"/>
    </xf>
    <xf numFmtId="0" fontId="0" fillId="0" borderId="40" xfId="0" applyBorder="1">
      <alignment vertical="center"/>
    </xf>
    <xf numFmtId="0" fontId="0" fillId="0" borderId="43" xfId="0" applyBorder="1">
      <alignment vertical="center"/>
    </xf>
    <xf numFmtId="43" fontId="0" fillId="0" borderId="44" xfId="0" applyNumberFormat="1" applyBorder="1">
      <alignment vertical="center"/>
    </xf>
    <xf numFmtId="0" fontId="0" fillId="0" borderId="0" xfId="0" applyAlignment="1">
      <alignment horizontal="right" vertical="center"/>
    </xf>
    <xf numFmtId="178" fontId="0" fillId="0" borderId="0" xfId="0" applyNumberFormat="1">
      <alignment vertical="center"/>
    </xf>
    <xf numFmtId="0" fontId="39" fillId="0" borderId="0" xfId="0" applyFont="1">
      <alignment vertical="center"/>
    </xf>
    <xf numFmtId="0" fontId="32" fillId="0" borderId="0" xfId="11" applyAlignment="1" applyProtection="1">
      <alignment vertical="center"/>
    </xf>
    <xf numFmtId="0" fontId="40" fillId="0" borderId="0" xfId="0" applyNumberFormat="1" applyFont="1" applyBorder="1" applyAlignment="1">
      <alignment horizontal="center" vertical="center"/>
    </xf>
    <xf numFmtId="0" fontId="40" fillId="0" borderId="0" xfId="0" applyFont="1" applyBorder="1" applyAlignment="1">
      <alignment horizontal="center" vertical="center"/>
    </xf>
    <xf numFmtId="0" fontId="41" fillId="0" borderId="0" xfId="0" applyFont="1" applyBorder="1" applyAlignment="1">
      <alignment vertical="center"/>
    </xf>
    <xf numFmtId="0" fontId="29" fillId="0" borderId="45" xfId="0" applyFont="1" applyBorder="1" applyAlignment="1">
      <alignment horizontal="left" vertical="center"/>
    </xf>
    <xf numFmtId="0" fontId="29" fillId="0" borderId="0" xfId="0" applyFont="1" applyBorder="1" applyAlignment="1">
      <alignment horizontal="left" vertical="center"/>
    </xf>
    <xf numFmtId="0" fontId="38" fillId="0" borderId="25" xfId="0" applyFont="1" applyBorder="1" applyAlignment="1">
      <alignment vertical="center"/>
    </xf>
    <xf numFmtId="0" fontId="0" fillId="0" borderId="25" xfId="0" applyBorder="1">
      <alignment vertical="center"/>
    </xf>
    <xf numFmtId="0" fontId="32" fillId="0" borderId="25" xfId="11" applyFill="1" applyBorder="1" applyAlignment="1" applyProtection="1">
      <alignment horizontal="center" vertical="center"/>
    </xf>
    <xf numFmtId="0" fontId="32" fillId="0" borderId="0" xfId="11" applyFill="1" applyAlignment="1" applyProtection="1">
      <alignment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1" fillId="0" borderId="30" xfId="0" applyFont="1" applyBorder="1" applyAlignment="1">
      <alignment horizontal="center" vertical="center" wrapText="1"/>
    </xf>
    <xf numFmtId="0" fontId="1" fillId="0" borderId="48" xfId="0" applyNumberFormat="1" applyFon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1" fillId="0" borderId="52" xfId="0" applyNumberFormat="1" applyFont="1" applyBorder="1" applyAlignment="1">
      <alignment horizontal="center" vertical="center"/>
    </xf>
    <xf numFmtId="0" fontId="1" fillId="0" borderId="38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43" fontId="0" fillId="0" borderId="41" xfId="0" applyNumberFormat="1" applyBorder="1">
      <alignment vertical="center"/>
    </xf>
    <xf numFmtId="43" fontId="0" fillId="0" borderId="54" xfId="0" applyNumberFormat="1" applyBorder="1">
      <alignment vertical="center"/>
    </xf>
    <xf numFmtId="0" fontId="34" fillId="0" borderId="55" xfId="0" applyFont="1" applyBorder="1" applyAlignment="1">
      <alignment horizontal="center" vertical="center"/>
    </xf>
    <xf numFmtId="0" fontId="0" fillId="0" borderId="48" xfId="0" applyNumberFormat="1" applyBorder="1" applyAlignment="1">
      <alignment horizontal="right" vertical="center"/>
    </xf>
    <xf numFmtId="0" fontId="0" fillId="0" borderId="56" xfId="0" applyNumberFormat="1" applyBorder="1" applyAlignment="1">
      <alignment horizontal="right" vertical="center"/>
    </xf>
    <xf numFmtId="43" fontId="0" fillId="0" borderId="57" xfId="0" applyNumberFormat="1" applyBorder="1" applyAlignment="1">
      <alignment horizontal="center" vertical="center"/>
    </xf>
    <xf numFmtId="0" fontId="0" fillId="0" borderId="0" xfId="0" applyNumberFormat="1">
      <alignment vertical="center"/>
    </xf>
    <xf numFmtId="178" fontId="0" fillId="0" borderId="0" xfId="0" applyNumberFormat="1" applyAlignment="1">
      <alignment horizontal="center" vertical="center"/>
    </xf>
    <xf numFmtId="0" fontId="42" fillId="4" borderId="0" xfId="30" applyFont="1" applyAlignment="1">
      <alignment horizontal="center" vertical="center"/>
    </xf>
    <xf numFmtId="0" fontId="36" fillId="5" borderId="0" xfId="24" applyFont="1">
      <alignment vertical="center"/>
    </xf>
    <xf numFmtId="0" fontId="43" fillId="5" borderId="1" xfId="24" applyFont="1" applyBorder="1" applyAlignment="1">
      <alignment horizontal="center" vertical="center"/>
    </xf>
    <xf numFmtId="0" fontId="44" fillId="7" borderId="1" xfId="45" applyNumberFormat="1" applyFont="1" applyBorder="1" applyAlignment="1">
      <alignment horizontal="center" vertical="center"/>
    </xf>
    <xf numFmtId="0" fontId="44" fillId="7" borderId="1" xfId="45" applyFont="1" applyBorder="1" applyAlignment="1">
      <alignment horizontal="center" vertical="center"/>
    </xf>
    <xf numFmtId="178" fontId="45" fillId="7" borderId="1" xfId="45" applyNumberFormat="1" applyFont="1" applyBorder="1">
      <alignment vertical="center"/>
    </xf>
    <xf numFmtId="0" fontId="45" fillId="7" borderId="1" xfId="45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47" fillId="0" borderId="0" xfId="0" applyFont="1" applyAlignment="1">
      <alignment horizontal="right" vertical="center"/>
    </xf>
    <xf numFmtId="0" fontId="39" fillId="0" borderId="45" xfId="0" applyFont="1" applyBorder="1" applyAlignment="1">
      <alignment horizontal="center" vertical="center"/>
    </xf>
    <xf numFmtId="0" fontId="48" fillId="0" borderId="45" xfId="0" applyFont="1" applyBorder="1" applyAlignment="1">
      <alignment horizontal="center" vertical="center"/>
    </xf>
    <xf numFmtId="0" fontId="49" fillId="6" borderId="25" xfId="0" applyFont="1" applyFill="1" applyBorder="1" applyAlignment="1">
      <alignment horizontal="right" vertical="center"/>
    </xf>
    <xf numFmtId="0" fontId="50" fillId="6" borderId="25" xfId="0" applyNumberFormat="1" applyFont="1" applyFill="1" applyBorder="1" applyAlignment="1">
      <alignment horizontal="center" vertical="center"/>
    </xf>
    <xf numFmtId="0" fontId="51" fillId="0" borderId="25" xfId="0" applyFont="1" applyBorder="1" applyAlignment="1">
      <alignment horizontal="center" vertical="center"/>
    </xf>
    <xf numFmtId="0" fontId="47" fillId="0" borderId="25" xfId="0" applyFont="1" applyBorder="1" applyAlignment="1">
      <alignment vertical="center"/>
    </xf>
    <xf numFmtId="0" fontId="45" fillId="0" borderId="58" xfId="0" applyFont="1" applyBorder="1" applyAlignment="1">
      <alignment horizontal="center" vertical="center"/>
    </xf>
    <xf numFmtId="0" fontId="45" fillId="0" borderId="59" xfId="0" applyFont="1" applyBorder="1" applyAlignment="1">
      <alignment horizontal="center" vertical="center"/>
    </xf>
    <xf numFmtId="0" fontId="52" fillId="0" borderId="60" xfId="0" applyFont="1" applyBorder="1" applyAlignment="1">
      <alignment horizontal="center" vertical="center"/>
    </xf>
    <xf numFmtId="0" fontId="52" fillId="0" borderId="61" xfId="0" applyFont="1" applyBorder="1" applyAlignment="1">
      <alignment horizontal="center" vertical="center"/>
    </xf>
    <xf numFmtId="0" fontId="52" fillId="0" borderId="61" xfId="0" applyFont="1" applyBorder="1" applyAlignment="1">
      <alignment horizontal="center" vertical="center" wrapText="1"/>
    </xf>
    <xf numFmtId="0" fontId="52" fillId="0" borderId="62" xfId="0" applyFont="1" applyBorder="1" applyAlignment="1">
      <alignment horizontal="center" vertical="center"/>
    </xf>
    <xf numFmtId="0" fontId="45" fillId="0" borderId="63" xfId="0" applyFont="1" applyBorder="1" applyAlignment="1">
      <alignment horizontal="center" vertical="center"/>
    </xf>
    <xf numFmtId="0" fontId="45" fillId="0" borderId="64" xfId="0" applyFont="1" applyBorder="1" applyAlignment="1">
      <alignment horizontal="center" vertical="center"/>
    </xf>
    <xf numFmtId="0" fontId="52" fillId="0" borderId="65" xfId="0" applyFont="1" applyBorder="1" applyAlignment="1">
      <alignment horizontal="center" vertical="center"/>
    </xf>
    <xf numFmtId="0" fontId="52" fillId="0" borderId="66" xfId="0" applyFont="1" applyBorder="1" applyAlignment="1">
      <alignment horizontal="center" vertical="center"/>
    </xf>
    <xf numFmtId="0" fontId="52" fillId="0" borderId="67" xfId="0" applyFont="1" applyBorder="1" applyAlignment="1">
      <alignment horizontal="center" vertical="center"/>
    </xf>
    <xf numFmtId="0" fontId="45" fillId="0" borderId="68" xfId="0" applyFont="1" applyBorder="1" applyAlignment="1">
      <alignment horizontal="center" vertical="center"/>
    </xf>
    <xf numFmtId="0" fontId="45" fillId="0" borderId="69" xfId="0" applyFont="1" applyBorder="1" applyAlignment="1">
      <alignment horizontal="center" vertical="center"/>
    </xf>
    <xf numFmtId="0" fontId="45" fillId="0" borderId="55" xfId="0" applyFont="1" applyBorder="1">
      <alignment vertical="center"/>
    </xf>
    <xf numFmtId="0" fontId="45" fillId="0" borderId="30" xfId="0" applyFont="1" applyBorder="1">
      <alignment vertical="center"/>
    </xf>
    <xf numFmtId="0" fontId="52" fillId="0" borderId="30" xfId="0" applyFont="1" applyBorder="1" applyAlignment="1">
      <alignment horizontal="center" vertical="center"/>
    </xf>
    <xf numFmtId="43" fontId="45" fillId="0" borderId="57" xfId="0" applyNumberFormat="1" applyFont="1" applyBorder="1">
      <alignment vertical="center"/>
    </xf>
    <xf numFmtId="0" fontId="45" fillId="0" borderId="70" xfId="0" applyFont="1" applyBorder="1" applyAlignment="1">
      <alignment horizontal="center" vertical="center"/>
    </xf>
    <xf numFmtId="0" fontId="45" fillId="0" borderId="71" xfId="0" applyFont="1" applyBorder="1" applyAlignment="1">
      <alignment horizontal="center" vertical="center"/>
    </xf>
    <xf numFmtId="0" fontId="45" fillId="0" borderId="72" xfId="0" applyFont="1" applyBorder="1">
      <alignment vertical="center"/>
    </xf>
    <xf numFmtId="43" fontId="45" fillId="0" borderId="73" xfId="0" applyNumberFormat="1" applyFont="1" applyBorder="1">
      <alignment vertical="center"/>
    </xf>
    <xf numFmtId="43" fontId="45" fillId="0" borderId="72" xfId="0" applyNumberFormat="1" applyFont="1" applyBorder="1">
      <alignment vertical="center"/>
    </xf>
    <xf numFmtId="0" fontId="52" fillId="0" borderId="73" xfId="0" applyFont="1" applyBorder="1" applyAlignment="1">
      <alignment horizontal="center" vertical="center"/>
    </xf>
    <xf numFmtId="43" fontId="45" fillId="0" borderId="74" xfId="0" applyNumberFormat="1" applyFont="1" applyBorder="1">
      <alignment vertical="center"/>
    </xf>
    <xf numFmtId="0" fontId="45" fillId="0" borderId="75" xfId="0" applyFont="1" applyBorder="1" applyAlignment="1">
      <alignment horizontal="center" vertical="center"/>
    </xf>
    <xf numFmtId="0" fontId="45" fillId="0" borderId="76" xfId="0" applyFont="1" applyBorder="1" applyAlignment="1">
      <alignment horizontal="center" vertical="center"/>
    </xf>
    <xf numFmtId="0" fontId="45" fillId="0" borderId="77" xfId="0" applyFont="1" applyBorder="1">
      <alignment vertical="center"/>
    </xf>
    <xf numFmtId="43" fontId="45" fillId="0" borderId="36" xfId="0" applyNumberFormat="1" applyFont="1" applyBorder="1">
      <alignment vertical="center"/>
    </xf>
    <xf numFmtId="43" fontId="45" fillId="0" borderId="77" xfId="0" applyNumberFormat="1" applyFont="1" applyBorder="1">
      <alignment vertical="center"/>
    </xf>
    <xf numFmtId="0" fontId="52" fillId="0" borderId="36" xfId="0" applyFont="1" applyBorder="1" applyAlignment="1">
      <alignment horizontal="center" vertical="center"/>
    </xf>
    <xf numFmtId="43" fontId="45" fillId="0" borderId="78" xfId="0" applyNumberFormat="1" applyFont="1" applyBorder="1">
      <alignment vertical="center"/>
    </xf>
    <xf numFmtId="0" fontId="16" fillId="0" borderId="25" xfId="0" applyFont="1" applyBorder="1" applyAlignment="1">
      <alignment horizontal="center" vertical="center"/>
    </xf>
    <xf numFmtId="0" fontId="16" fillId="0" borderId="79" xfId="0" applyFont="1" applyBorder="1" applyAlignment="1">
      <alignment horizontal="center" vertical="center"/>
    </xf>
    <xf numFmtId="43" fontId="45" fillId="0" borderId="80" xfId="0" applyNumberFormat="1" applyFont="1" applyBorder="1">
      <alignment vertical="center"/>
    </xf>
    <xf numFmtId="43" fontId="45" fillId="0" borderId="25" xfId="0" applyNumberFormat="1" applyFont="1" applyBorder="1">
      <alignment vertical="center"/>
    </xf>
    <xf numFmtId="0" fontId="52" fillId="0" borderId="80" xfId="0" applyFont="1" applyBorder="1" applyAlignment="1">
      <alignment horizontal="center" vertical="center"/>
    </xf>
    <xf numFmtId="43" fontId="45" fillId="0" borderId="81" xfId="0" applyNumberFormat="1" applyFont="1" applyBorder="1">
      <alignment vertical="center"/>
    </xf>
    <xf numFmtId="0" fontId="35" fillId="5" borderId="0" xfId="24">
      <alignment vertical="center"/>
    </xf>
    <xf numFmtId="0" fontId="21" fillId="5" borderId="0" xfId="24" applyFont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54" fillId="0" borderId="0" xfId="0" applyFont="1" applyBorder="1">
      <alignment vertical="center"/>
    </xf>
    <xf numFmtId="0" fontId="55" fillId="0" borderId="0" xfId="0" applyFont="1" applyBorder="1" applyAlignment="1">
      <alignment horizontal="center" vertical="center"/>
    </xf>
    <xf numFmtId="0" fontId="55" fillId="0" borderId="0" xfId="0" applyFont="1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43" fontId="0" fillId="0" borderId="1" xfId="0" applyNumberFormat="1" applyBorder="1">
      <alignment vertical="center"/>
    </xf>
    <xf numFmtId="0" fontId="2" fillId="0" borderId="1" xfId="0" applyFont="1" applyBorder="1" applyAlignment="1">
      <alignment horizontal="left" vertical="center" indent="1"/>
    </xf>
    <xf numFmtId="0" fontId="54" fillId="0" borderId="0" xfId="0" applyFont="1" applyProtection="1">
      <alignment vertical="center"/>
      <protection locked="0"/>
    </xf>
    <xf numFmtId="0" fontId="10" fillId="0" borderId="1" xfId="0" applyFont="1" applyBorder="1" applyAlignment="1">
      <alignment horizontal="left" vertical="center" wrapText="1" indent="1"/>
    </xf>
    <xf numFmtId="0" fontId="2" fillId="0" borderId="1" xfId="0" applyFont="1" applyBorder="1" applyAlignment="1">
      <alignment vertical="center"/>
    </xf>
    <xf numFmtId="0" fontId="10" fillId="0" borderId="0" xfId="0" applyFont="1" applyAlignment="1" applyProtection="1">
      <alignment horizontal="center" vertical="center"/>
      <protection locked="0"/>
    </xf>
    <xf numFmtId="0" fontId="54" fillId="0" borderId="0" xfId="0" applyFont="1" applyAlignment="1" applyProtection="1">
      <alignment horizontal="center" vertical="center"/>
      <protection locked="0"/>
    </xf>
    <xf numFmtId="0" fontId="56" fillId="4" borderId="0" xfId="30" applyAlignment="1" applyProtection="1">
      <alignment horizontal="center" vertical="center"/>
      <protection locked="0"/>
    </xf>
    <xf numFmtId="0" fontId="54" fillId="8" borderId="0" xfId="0" applyFont="1" applyFill="1" applyAlignment="1" applyProtection="1">
      <alignment horizontal="center" vertical="center"/>
      <protection locked="0"/>
    </xf>
    <xf numFmtId="0" fontId="57" fillId="0" borderId="0" xfId="0" applyFont="1" applyAlignment="1" applyProtection="1">
      <alignment horizontal="center" vertical="center"/>
    </xf>
    <xf numFmtId="0" fontId="58" fillId="0" borderId="0" xfId="0" applyFont="1" applyBorder="1" applyAlignment="1" applyProtection="1">
      <alignment horizontal="left" vertical="center"/>
    </xf>
    <xf numFmtId="0" fontId="58" fillId="0" borderId="0" xfId="0" applyFont="1" applyBorder="1" applyAlignment="1" applyProtection="1">
      <alignment vertical="center"/>
    </xf>
    <xf numFmtId="0" fontId="59" fillId="0" borderId="0" xfId="0" applyFont="1" applyAlignment="1" applyProtection="1">
      <alignment horizontal="center" vertical="center"/>
    </xf>
    <xf numFmtId="0" fontId="58" fillId="0" borderId="0" xfId="0" applyFont="1" applyProtection="1">
      <alignment vertical="center"/>
    </xf>
    <xf numFmtId="0" fontId="59" fillId="0" borderId="0" xfId="0" applyFont="1" applyBorder="1" applyAlignment="1" applyProtection="1">
      <alignment horizontal="center" vertical="center"/>
    </xf>
    <xf numFmtId="0" fontId="58" fillId="0" borderId="0" xfId="0" applyFont="1" applyBorder="1" applyProtection="1">
      <alignment vertical="center"/>
    </xf>
    <xf numFmtId="0" fontId="58" fillId="0" borderId="1" xfId="0" applyFont="1" applyBorder="1" applyAlignment="1" applyProtection="1">
      <alignment horizontal="center" vertical="center"/>
    </xf>
    <xf numFmtId="0" fontId="59" fillId="0" borderId="1" xfId="0" applyFont="1" applyBorder="1" applyAlignment="1" applyProtection="1">
      <alignment horizontal="center" vertical="center"/>
    </xf>
    <xf numFmtId="0" fontId="54" fillId="0" borderId="0" xfId="0" applyFont="1" applyBorder="1" applyProtection="1">
      <alignment vertical="center"/>
      <protection locked="0"/>
    </xf>
    <xf numFmtId="0" fontId="58" fillId="0" borderId="1" xfId="0" applyFont="1" applyBorder="1" applyProtection="1">
      <alignment vertical="center"/>
    </xf>
    <xf numFmtId="0" fontId="10" fillId="0" borderId="1" xfId="0" applyFont="1" applyBorder="1" applyAlignment="1" applyProtection="1">
      <alignment horizontal="center" vertical="center"/>
    </xf>
    <xf numFmtId="0" fontId="2" fillId="0" borderId="1" xfId="0" applyFont="1" applyBorder="1" applyProtection="1">
      <alignment vertical="center"/>
    </xf>
    <xf numFmtId="43" fontId="2" fillId="0" borderId="1" xfId="0" applyNumberFormat="1" applyFont="1" applyBorder="1" applyProtection="1">
      <alignment vertical="center"/>
    </xf>
    <xf numFmtId="0" fontId="58" fillId="0" borderId="1" xfId="0" applyFont="1" applyBorder="1" applyAlignment="1" applyProtection="1">
      <alignment horizontal="left" vertical="center" indent="1"/>
    </xf>
    <xf numFmtId="0" fontId="58" fillId="0" borderId="1" xfId="0" applyFont="1" applyBorder="1" applyProtection="1">
      <alignment vertical="center"/>
      <protection locked="0"/>
    </xf>
    <xf numFmtId="0" fontId="58" fillId="0" borderId="1" xfId="0" applyFont="1" applyBorder="1" applyAlignment="1" applyProtection="1">
      <alignment vertical="center"/>
    </xf>
    <xf numFmtId="0" fontId="58" fillId="0" borderId="1" xfId="0" applyFont="1" applyBorder="1" applyAlignment="1" applyProtection="1">
      <alignment horizontal="left" vertical="center" wrapText="1" indent="1"/>
    </xf>
    <xf numFmtId="0" fontId="10" fillId="0" borderId="1" xfId="0" applyFont="1" applyBorder="1" applyAlignment="1" applyProtection="1">
      <alignment horizontal="center" vertical="center"/>
      <protection locked="0"/>
    </xf>
    <xf numFmtId="0" fontId="2" fillId="0" borderId="0" xfId="0" applyFont="1" applyProtection="1">
      <alignment vertical="center"/>
      <protection locked="0"/>
    </xf>
    <xf numFmtId="43" fontId="54" fillId="0" borderId="0" xfId="0" applyNumberFormat="1" applyFont="1" applyProtection="1">
      <alignment vertical="center"/>
      <protection locked="0"/>
    </xf>
    <xf numFmtId="0" fontId="10" fillId="0" borderId="0" xfId="0" applyFont="1" applyBorder="1" applyAlignment="1">
      <alignment horizontal="center" vertical="center"/>
    </xf>
    <xf numFmtId="0" fontId="1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35" fillId="5" borderId="1" xfId="24" applyBorder="1" applyAlignment="1" applyProtection="1">
      <alignment horizontal="center" vertical="center"/>
      <protection locked="0"/>
    </xf>
    <xf numFmtId="0" fontId="36" fillId="5" borderId="1" xfId="24" applyFont="1" applyBorder="1" applyAlignment="1" applyProtection="1">
      <alignment horizontal="center" vertical="center"/>
      <protection locked="0"/>
    </xf>
    <xf numFmtId="0" fontId="36" fillId="5" borderId="0" xfId="24" applyFont="1" applyBorder="1" applyAlignment="1" applyProtection="1">
      <alignment horizontal="center" vertical="center"/>
      <protection locked="0"/>
    </xf>
    <xf numFmtId="0" fontId="36" fillId="5" borderId="0" xfId="24" applyFont="1" applyAlignment="1">
      <alignment horizontal="center" vertical="center"/>
    </xf>
    <xf numFmtId="0" fontId="36" fillId="5" borderId="0" xfId="24" applyFont="1" applyBorder="1" applyAlignment="1" applyProtection="1">
      <alignment horizontal="left" vertical="center"/>
      <protection locked="0"/>
    </xf>
    <xf numFmtId="0" fontId="36" fillId="5" borderId="0" xfId="24" applyFont="1" applyAlignment="1" applyProtection="1">
      <alignment horizontal="center" vertical="center"/>
      <protection locked="0"/>
    </xf>
    <xf numFmtId="0" fontId="36" fillId="5" borderId="82" xfId="24" applyFont="1" applyBorder="1" applyAlignment="1" applyProtection="1">
      <alignment horizontal="center" vertical="center"/>
      <protection locked="0"/>
    </xf>
    <xf numFmtId="0" fontId="36" fillId="5" borderId="82" xfId="24" applyFont="1" applyBorder="1" applyAlignment="1">
      <alignment horizontal="center" vertical="center"/>
    </xf>
    <xf numFmtId="0" fontId="36" fillId="5" borderId="0" xfId="24" applyFont="1" applyProtection="1">
      <alignment vertical="center"/>
      <protection locked="0"/>
    </xf>
    <xf numFmtId="0" fontId="0" fillId="0" borderId="0" xfId="0" applyBorder="1" applyProtection="1">
      <alignment vertical="center"/>
      <protection locked="0"/>
    </xf>
    <xf numFmtId="0" fontId="60" fillId="0" borderId="0" xfId="0" applyFont="1" applyBorder="1" applyAlignment="1" applyProtection="1">
      <alignment horizontal="center" vertical="center"/>
      <protection locked="0"/>
    </xf>
    <xf numFmtId="0" fontId="1" fillId="0" borderId="0" xfId="0" applyFont="1" applyBorder="1" applyProtection="1">
      <alignment vertical="center"/>
      <protection locked="0"/>
    </xf>
    <xf numFmtId="0" fontId="44" fillId="0" borderId="83" xfId="0" applyFont="1" applyBorder="1" applyAlignment="1" applyProtection="1">
      <alignment horizontal="left" vertical="center"/>
      <protection locked="0"/>
    </xf>
    <xf numFmtId="0" fontId="44" fillId="0" borderId="84" xfId="0" applyFont="1" applyBorder="1" applyAlignment="1" applyProtection="1">
      <alignment horizontal="right" vertical="center"/>
      <protection locked="0"/>
    </xf>
    <xf numFmtId="14" fontId="45" fillId="0" borderId="84" xfId="0" applyNumberFormat="1" applyFont="1" applyBorder="1" applyAlignment="1" applyProtection="1">
      <alignment horizontal="center" vertical="center"/>
      <protection locked="0"/>
    </xf>
    <xf numFmtId="14" fontId="45" fillId="0" borderId="84" xfId="0" applyNumberFormat="1" applyFont="1" applyBorder="1" applyAlignment="1" applyProtection="1">
      <alignment vertical="center"/>
      <protection locked="0"/>
    </xf>
    <xf numFmtId="0" fontId="45" fillId="0" borderId="84" xfId="0" applyFont="1" applyBorder="1" applyAlignment="1" applyProtection="1">
      <alignment horizontal="right" vertical="center"/>
      <protection locked="0"/>
    </xf>
    <xf numFmtId="0" fontId="16" fillId="0" borderId="0" xfId="0" applyFont="1" applyBorder="1" applyAlignment="1" applyProtection="1">
      <alignment vertical="center"/>
      <protection locked="0"/>
    </xf>
    <xf numFmtId="0" fontId="45" fillId="0" borderId="85" xfId="0" applyFont="1" applyBorder="1" applyAlignment="1" applyProtection="1">
      <alignment vertical="center"/>
      <protection locked="0"/>
    </xf>
    <xf numFmtId="0" fontId="45" fillId="0" borderId="86" xfId="0" applyFont="1" applyBorder="1" applyAlignment="1" applyProtection="1">
      <alignment vertical="center"/>
      <protection locked="0"/>
    </xf>
    <xf numFmtId="0" fontId="45" fillId="0" borderId="87" xfId="0" applyFont="1" applyBorder="1" applyAlignment="1" applyProtection="1">
      <alignment vertical="center" wrapText="1"/>
      <protection locked="0"/>
    </xf>
    <xf numFmtId="0" fontId="45" fillId="0" borderId="88" xfId="0" applyFont="1" applyBorder="1" applyAlignment="1" applyProtection="1">
      <alignment vertical="center" wrapText="1"/>
      <protection locked="0"/>
    </xf>
    <xf numFmtId="0" fontId="45" fillId="0" borderId="89" xfId="0" applyFont="1" applyBorder="1" applyProtection="1">
      <alignment vertical="center"/>
      <protection locked="0"/>
    </xf>
    <xf numFmtId="0" fontId="2" fillId="0" borderId="0" xfId="0" applyFont="1" applyBorder="1" applyProtection="1">
      <alignment vertical="center"/>
      <protection locked="0"/>
    </xf>
    <xf numFmtId="0" fontId="2" fillId="0" borderId="90" xfId="0" applyFont="1" applyBorder="1" applyAlignment="1" applyProtection="1">
      <alignment horizontal="center" vertical="center"/>
      <protection locked="0"/>
    </xf>
    <xf numFmtId="0" fontId="45" fillId="0" borderId="90" xfId="0" applyFont="1" applyBorder="1" applyAlignment="1" applyProtection="1">
      <alignment horizontal="center" vertical="center"/>
      <protection locked="0"/>
    </xf>
    <xf numFmtId="0" fontId="45" fillId="0" borderId="91" xfId="0" applyFont="1" applyBorder="1" applyAlignment="1" applyProtection="1">
      <alignment horizontal="center" vertical="center"/>
      <protection locked="0"/>
    </xf>
    <xf numFmtId="0" fontId="10" fillId="0" borderId="92" xfId="0" applyFont="1" applyFill="1" applyBorder="1">
      <alignment vertical="center"/>
    </xf>
    <xf numFmtId="0" fontId="10" fillId="0" borderId="93" xfId="0" applyFont="1" applyFill="1" applyBorder="1">
      <alignment vertical="center"/>
    </xf>
    <xf numFmtId="0" fontId="45" fillId="0" borderId="94" xfId="0" applyFont="1" applyBorder="1" applyAlignment="1" applyProtection="1">
      <alignment horizontal="center" vertical="center"/>
      <protection locked="0"/>
    </xf>
    <xf numFmtId="0" fontId="1" fillId="0" borderId="90" xfId="0" applyFont="1" applyBorder="1" applyAlignment="1" applyProtection="1">
      <alignment horizontal="center" vertical="center"/>
    </xf>
    <xf numFmtId="0" fontId="1" fillId="0" borderId="90" xfId="0" applyFont="1" applyBorder="1" applyAlignment="1" applyProtection="1">
      <alignment vertical="center" shrinkToFit="1"/>
    </xf>
    <xf numFmtId="0" fontId="54" fillId="0" borderId="90" xfId="0" applyFont="1" applyBorder="1" applyAlignment="1" applyProtection="1">
      <alignment vertical="center" shrinkToFit="1"/>
    </xf>
    <xf numFmtId="0" fontId="2" fillId="0" borderId="91" xfId="0" applyFont="1" applyBorder="1" applyAlignment="1" applyProtection="1">
      <alignment vertical="center" shrinkToFit="1"/>
    </xf>
    <xf numFmtId="0" fontId="54" fillId="0" borderId="95" xfId="0" applyNumberFormat="1" applyFont="1" applyBorder="1" applyAlignment="1" applyProtection="1">
      <alignment horizontal="center" vertical="center" shrinkToFit="1"/>
    </xf>
    <xf numFmtId="1" fontId="54" fillId="0" borderId="96" xfId="0" applyNumberFormat="1" applyFont="1" applyBorder="1" applyAlignment="1" applyProtection="1">
      <alignment vertical="center" shrinkToFit="1"/>
    </xf>
    <xf numFmtId="43" fontId="54" fillId="0" borderId="90" xfId="0" applyNumberFormat="1" applyFont="1" applyBorder="1" applyAlignment="1" applyProtection="1">
      <alignment vertical="center" shrinkToFit="1"/>
    </xf>
    <xf numFmtId="0" fontId="54" fillId="0" borderId="97" xfId="0" applyFont="1" applyBorder="1" applyAlignment="1" applyProtection="1">
      <alignment vertical="center" shrinkToFit="1"/>
    </xf>
    <xf numFmtId="0" fontId="2" fillId="0" borderId="98" xfId="0" applyFont="1" applyBorder="1" applyAlignment="1" applyProtection="1">
      <alignment vertical="center" shrinkToFit="1"/>
    </xf>
    <xf numFmtId="0" fontId="54" fillId="0" borderId="99" xfId="0" applyNumberFormat="1" applyFont="1" applyBorder="1" applyAlignment="1" applyProtection="1">
      <alignment horizontal="center" vertical="center" shrinkToFit="1"/>
    </xf>
    <xf numFmtId="1" fontId="54" fillId="0" borderId="100" xfId="0" applyNumberFormat="1" applyFont="1" applyBorder="1" applyAlignment="1" applyProtection="1">
      <alignment vertical="center" shrinkToFit="1"/>
    </xf>
    <xf numFmtId="0" fontId="1" fillId="0" borderId="101" xfId="0" applyFont="1" applyBorder="1" applyAlignment="1" applyProtection="1">
      <alignment vertical="center" shrinkToFit="1"/>
    </xf>
    <xf numFmtId="0" fontId="0" fillId="0" borderId="102" xfId="0" applyFont="1" applyBorder="1" applyAlignment="1" applyProtection="1">
      <alignment vertical="center"/>
    </xf>
    <xf numFmtId="0" fontId="1" fillId="0" borderId="1" xfId="0" applyFont="1" applyBorder="1" applyAlignment="1" applyProtection="1">
      <alignment vertical="center" shrinkToFit="1"/>
    </xf>
    <xf numFmtId="0" fontId="54" fillId="0" borderId="103" xfId="0" applyFont="1" applyBorder="1" applyAlignment="1" applyProtection="1">
      <alignment vertical="center" shrinkToFit="1"/>
    </xf>
    <xf numFmtId="0" fontId="2" fillId="0" borderId="103" xfId="0" applyFont="1" applyBorder="1" applyAlignment="1" applyProtection="1">
      <alignment vertical="center" shrinkToFit="1"/>
    </xf>
    <xf numFmtId="0" fontId="61" fillId="0" borderId="104" xfId="0" applyFont="1" applyBorder="1" applyAlignment="1" applyProtection="1">
      <alignment vertical="center"/>
      <protection locked="0"/>
    </xf>
    <xf numFmtId="0" fontId="61" fillId="0" borderId="15" xfId="0" applyFont="1" applyBorder="1" applyAlignment="1" applyProtection="1">
      <alignment vertical="center"/>
      <protection locked="0"/>
    </xf>
    <xf numFmtId="0" fontId="16" fillId="0" borderId="1" xfId="0" applyFont="1" applyBorder="1" applyAlignment="1" applyProtection="1">
      <alignment horizontal="center" vertical="center" shrinkToFit="1"/>
    </xf>
    <xf numFmtId="0" fontId="54" fillId="0" borderId="99" xfId="0" applyFont="1" applyBorder="1" applyAlignment="1" applyProtection="1">
      <alignment vertical="center" shrinkToFit="1"/>
    </xf>
    <xf numFmtId="43" fontId="54" fillId="0" borderId="97" xfId="0" applyNumberFormat="1" applyFont="1" applyBorder="1" applyAlignment="1" applyProtection="1">
      <alignment vertical="center" shrinkToFit="1"/>
    </xf>
    <xf numFmtId="0" fontId="0" fillId="0" borderId="0" xfId="0" applyBorder="1" applyAlignment="1" applyProtection="1">
      <alignment vertical="center"/>
      <protection locked="0"/>
    </xf>
    <xf numFmtId="0" fontId="0" fillId="0" borderId="0" xfId="0" applyBorder="1" applyAlignment="1" applyProtection="1">
      <alignment horizontal="left" vertical="center"/>
      <protection locked="0"/>
    </xf>
    <xf numFmtId="0" fontId="56" fillId="4" borderId="0" xfId="30" applyProtection="1">
      <alignment vertical="center"/>
      <protection locked="0"/>
    </xf>
    <xf numFmtId="43" fontId="56" fillId="4" borderId="0" xfId="30" applyNumberFormat="1" applyProtection="1">
      <alignment vertical="center"/>
      <protection locked="0"/>
    </xf>
    <xf numFmtId="0" fontId="35" fillId="5" borderId="0" xfId="24" applyAlignment="1" applyProtection="1">
      <alignment horizontal="center" vertical="center"/>
      <protection locked="0"/>
    </xf>
    <xf numFmtId="0" fontId="23" fillId="0" borderId="0" xfId="24" applyFont="1" applyFill="1" applyAlignment="1" applyProtection="1">
      <alignment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45" fillId="0" borderId="0" xfId="0" applyFont="1" applyBorder="1" applyAlignment="1">
      <alignment horizontal="center" vertical="center"/>
    </xf>
    <xf numFmtId="0" fontId="1" fillId="0" borderId="0" xfId="0" applyFont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center"/>
      <protection locked="0"/>
    </xf>
    <xf numFmtId="0" fontId="45" fillId="0" borderId="105" xfId="0" applyFont="1" applyBorder="1" applyProtection="1">
      <alignment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horizontal="left" vertical="center"/>
      <protection locked="0"/>
    </xf>
    <xf numFmtId="0" fontId="45" fillId="0" borderId="1" xfId="0" applyFont="1" applyBorder="1" applyAlignment="1" applyProtection="1">
      <alignment horizontal="center" vertical="center"/>
      <protection locked="0"/>
    </xf>
    <xf numFmtId="0" fontId="36" fillId="0" borderId="0" xfId="24" applyFont="1" applyFill="1" applyAlignment="1" applyProtection="1">
      <alignment horizontal="left" vertical="center"/>
      <protection locked="0"/>
    </xf>
    <xf numFmtId="0" fontId="61" fillId="0" borderId="0" xfId="0" applyFont="1" applyAlignment="1" applyProtection="1">
      <alignment horizontal="center" vertical="center"/>
      <protection locked="0"/>
    </xf>
    <xf numFmtId="0" fontId="0" fillId="0" borderId="106" xfId="0" applyBorder="1" applyProtection="1">
      <alignment vertical="center"/>
      <protection locked="0"/>
    </xf>
    <xf numFmtId="43" fontId="0" fillId="0" borderId="0" xfId="0" applyNumberFormat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left" vertical="center"/>
      <protection locked="0"/>
    </xf>
    <xf numFmtId="43" fontId="0" fillId="0" borderId="0" xfId="0" applyNumberFormat="1" applyProtection="1">
      <alignment vertical="center"/>
      <protection locked="0"/>
    </xf>
    <xf numFmtId="0" fontId="1" fillId="0" borderId="0" xfId="0" applyNumberFormat="1" applyFont="1" applyFill="1" applyAlignment="1">
      <alignment horizontal="left" vertical="center"/>
    </xf>
    <xf numFmtId="0" fontId="2" fillId="0" borderId="0" xfId="0" applyFont="1" applyFill="1">
      <alignment vertical="center"/>
    </xf>
    <xf numFmtId="0" fontId="2" fillId="0" borderId="0" xfId="0" applyFont="1" applyFill="1" applyAlignment="1">
      <alignment horizontal="center" vertical="center"/>
    </xf>
    <xf numFmtId="181" fontId="2" fillId="0" borderId="0" xfId="0" applyNumberFormat="1" applyFont="1" applyFill="1" applyAlignment="1">
      <alignment horizontal="center" vertical="center"/>
    </xf>
    <xf numFmtId="1" fontId="2" fillId="0" borderId="0" xfId="0" applyNumberFormat="1" applyFont="1" applyFill="1" applyAlignment="1">
      <alignment horizontal="center" vertical="center"/>
    </xf>
    <xf numFmtId="178" fontId="2" fillId="0" borderId="0" xfId="0" applyNumberFormat="1" applyFont="1" applyFill="1">
      <alignment vertical="center"/>
    </xf>
    <xf numFmtId="0" fontId="0" fillId="0" borderId="0" xfId="0" applyAlignment="1">
      <alignment vertical="center" shrinkToFit="1"/>
    </xf>
    <xf numFmtId="0" fontId="1" fillId="0" borderId="0" xfId="0" applyFont="1" applyFill="1" applyBorder="1" applyAlignment="1">
      <alignment horizontal="center" vertical="center"/>
    </xf>
    <xf numFmtId="43" fontId="1" fillId="0" borderId="0" xfId="0" applyNumberFormat="1" applyFont="1" applyFill="1">
      <alignment vertical="center"/>
    </xf>
    <xf numFmtId="43" fontId="2" fillId="0" borderId="0" xfId="0" applyNumberFormat="1" applyFont="1" applyFill="1" applyAlignment="1">
      <alignment horizontal="center" vertical="center"/>
    </xf>
    <xf numFmtId="0" fontId="62" fillId="0" borderId="0" xfId="30" applyFont="1" applyFill="1" applyAlignment="1">
      <alignment vertical="center" shrinkToFit="1"/>
    </xf>
    <xf numFmtId="0" fontId="2" fillId="0" borderId="0" xfId="30" applyFont="1" applyFill="1" applyAlignment="1">
      <alignment horizontal="center" vertical="center"/>
    </xf>
    <xf numFmtId="0" fontId="54" fillId="0" borderId="0" xfId="0" applyNumberFormat="1" applyFont="1" applyFill="1" applyAlignment="1">
      <alignment horizontal="right" vertical="center"/>
    </xf>
    <xf numFmtId="0" fontId="63" fillId="0" borderId="0" xfId="0" applyFont="1" applyFill="1">
      <alignment vertical="center"/>
    </xf>
    <xf numFmtId="178" fontId="2" fillId="0" borderId="0" xfId="0" applyNumberFormat="1" applyFont="1" applyFill="1" applyAlignment="1">
      <alignment horizontal="center" vertical="center"/>
    </xf>
    <xf numFmtId="0" fontId="2" fillId="0" borderId="0" xfId="0" applyNumberFormat="1" applyFont="1" applyFill="1" applyAlignment="1">
      <alignment vertical="top"/>
    </xf>
    <xf numFmtId="0" fontId="0" fillId="9" borderId="107" xfId="0" applyFont="1" applyFill="1" applyBorder="1">
      <alignment vertical="center"/>
    </xf>
    <xf numFmtId="0" fontId="64" fillId="0" borderId="1" xfId="0" applyFont="1" applyBorder="1" applyAlignment="1">
      <alignment horizontal="center" vertical="center"/>
    </xf>
    <xf numFmtId="0" fontId="65" fillId="0" borderId="1" xfId="0" applyFont="1" applyBorder="1" applyAlignment="1">
      <alignment horizontal="center" vertical="center"/>
    </xf>
    <xf numFmtId="0" fontId="0" fillId="0" borderId="0" xfId="0" applyFill="1">
      <alignment vertical="center"/>
    </xf>
    <xf numFmtId="0" fontId="44" fillId="10" borderId="1" xfId="0" applyFont="1" applyFill="1" applyBorder="1" applyAlignment="1">
      <alignment horizontal="left" vertical="center"/>
    </xf>
    <xf numFmtId="0" fontId="45" fillId="0" borderId="1" xfId="0" applyFont="1" applyBorder="1" applyAlignment="1">
      <alignment horizontal="left"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/>
    </xf>
    <xf numFmtId="49" fontId="66" fillId="0" borderId="1" xfId="0" applyNumberFormat="1" applyFont="1" applyBorder="1" applyAlignment="1">
      <alignment vertical="center" wrapText="1"/>
    </xf>
    <xf numFmtId="0" fontId="0" fillId="10" borderId="1" xfId="0" applyFill="1" applyBorder="1">
      <alignment vertical="center"/>
    </xf>
    <xf numFmtId="49" fontId="67" fillId="0" borderId="1" xfId="0" applyNumberFormat="1" applyFont="1" applyBorder="1" applyAlignment="1">
      <alignment vertical="center" wrapText="1"/>
    </xf>
    <xf numFmtId="49" fontId="0" fillId="0" borderId="1" xfId="0" applyNumberFormat="1" applyBorder="1" applyAlignment="1">
      <alignment vertical="center"/>
    </xf>
    <xf numFmtId="49" fontId="0" fillId="0" borderId="1" xfId="0" applyNumberFormat="1" applyBorder="1" applyAlignment="1">
      <alignment vertical="center" wrapText="1"/>
    </xf>
    <xf numFmtId="0" fontId="68" fillId="0" borderId="1" xfId="0" applyFont="1" applyBorder="1" applyAlignment="1">
      <alignment horizontal="center" vertical="center" wrapText="1"/>
    </xf>
    <xf numFmtId="0" fontId="44" fillId="7" borderId="1" xfId="45" applyNumberFormat="1" applyFont="1" applyBorder="1" applyAlignment="1" quotePrefix="1">
      <alignment horizontal="center" vertical="center"/>
    </xf>
  </cellXfs>
  <cellStyles count="50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?鹎%U龡&amp;H?_x0008_e_x0005_9_x0006__x0007__x0001__x0001_" xfId="5"/>
    <cellStyle name="Currency" xfId="6" builtinId="4"/>
    <cellStyle name="Percent" xfId="7" builtinId="5"/>
    <cellStyle name="Check Cell" xfId="8" builtinId="23"/>
    <cellStyle name="Heading 2" xfId="9" builtinId="17"/>
    <cellStyle name="Note" xfId="10" builtinId="10"/>
    <cellStyle name="Hyperlink" xfId="11" builtinId="8"/>
    <cellStyle name="60% - Accent4" xfId="12" builtinId="44"/>
    <cellStyle name="Followed Hyperlink" xfId="13" builtinId="9"/>
    <cellStyle name="40% - Accent3" xfId="14" builtinId="39"/>
    <cellStyle name="Warning Text" xfId="15" builtinId="11"/>
    <cellStyle name="40% - Accent2" xfId="16" builtinId="35"/>
    <cellStyle name="Title" xfId="17" builtinId="15"/>
    <cellStyle name="CExplanatory Text" xfId="18" builtinId="53"/>
    <cellStyle name="Heading 1" xfId="19" builtinId="16"/>
    <cellStyle name="Heading 3" xfId="20" builtinId="18"/>
    <cellStyle name="Heading 4" xfId="21" builtinId="19"/>
    <cellStyle name="Input" xfId="22" builtinId="20"/>
    <cellStyle name="60% - Accent3" xfId="23" builtinId="40"/>
    <cellStyle name="Good" xfId="24" builtinId="26"/>
    <cellStyle name="Output" xfId="25" builtinId="21"/>
    <cellStyle name="20% - Accent1" xfId="26" builtinId="30"/>
    <cellStyle name="Calculation" xfId="27" builtinId="22"/>
    <cellStyle name="Linked Cell" xfId="28" builtinId="24"/>
    <cellStyle name="Total" xfId="29" builtinId="25"/>
    <cellStyle name="Bad" xfId="30" builtinId="27"/>
    <cellStyle name="Neutral" xfId="31" builtinId="28"/>
    <cellStyle name="Accent1" xfId="32" builtinId="29"/>
    <cellStyle name="20% - Accent5" xfId="33" builtinId="46"/>
    <cellStyle name="60% - Accent1" xfId="34" builtinId="32"/>
    <cellStyle name="Accent2" xfId="35" builtinId="33"/>
    <cellStyle name="20% - Accent2" xfId="36" builtinId="34"/>
    <cellStyle name="20% - Accent6" xfId="37" builtinId="50"/>
    <cellStyle name="60% - Accent2" xfId="38" builtinId="36"/>
    <cellStyle name="Accent3" xfId="39" builtinId="37"/>
    <cellStyle name="20% - Accent3" xfId="40" builtinId="38"/>
    <cellStyle name="Accent4" xfId="41" builtinId="41"/>
    <cellStyle name="20% - Accent4" xfId="42" builtinId="42"/>
    <cellStyle name="40% - Accent4" xfId="43" builtinId="43"/>
    <cellStyle name="Accent5" xfId="44" builtinId="45"/>
    <cellStyle name="40% - Accent5" xfId="45" builtinId="47"/>
    <cellStyle name="60% - Accent5" xfId="46" builtinId="48"/>
    <cellStyle name="Accent6" xfId="47" builtinId="49"/>
    <cellStyle name="40% - Accent6" xfId="48" builtinId="51"/>
    <cellStyle name="60% - Accent6" xfId="49" builtinId="52"/>
  </cellStyles>
  <dxfs count="73">
    <dxf>
      <font>
        <name val="宋体"/>
        <scheme val="none"/>
        <b val="0"/>
        <strike val="0"/>
        <u val="none"/>
        <sz val="10"/>
        <color theme="1"/>
      </font>
      <fill>
        <patternFill patternType="none"/>
      </fill>
      <alignment horizontal="left" vertical="center"/>
    </dxf>
    <dxf>
      <font>
        <name val="华文中宋"/>
        <scheme val="none"/>
        <b val="0"/>
        <strike val="0"/>
        <u val="none"/>
        <sz val="10"/>
        <color theme="1"/>
      </font>
      <fill>
        <patternFill patternType="none"/>
      </fill>
    </dxf>
    <dxf>
      <font>
        <name val="华文中宋"/>
        <scheme val="none"/>
        <b val="0"/>
        <i val="0"/>
        <strike val="0"/>
        <u val="none"/>
        <sz val="10"/>
        <color theme="1"/>
      </font>
      <fill>
        <patternFill patternType="none"/>
      </fill>
      <alignment vertical="center" shrinkToFit="1"/>
    </dxf>
    <dxf>
      <font>
        <name val="宋体"/>
        <scheme val="none"/>
        <b val="0"/>
        <strike val="0"/>
        <u val="none"/>
        <sz val="10"/>
        <color theme="1"/>
      </font>
      <fill>
        <patternFill patternType="none"/>
      </fill>
      <alignment horizontal="center" vertical="center"/>
    </dxf>
    <dxf>
      <font>
        <name val="宋体"/>
        <scheme val="none"/>
        <b val="0"/>
        <strike val="0"/>
        <u val="none"/>
        <sz val="10"/>
        <color theme="1"/>
      </font>
      <fill>
        <patternFill patternType="none"/>
      </fill>
      <alignment horizontal="center" vertical="center"/>
    </dxf>
    <dxf>
      <font>
        <name val="宋体"/>
        <scheme val="none"/>
        <b val="0"/>
        <i val="0"/>
        <strike val="0"/>
        <u val="none"/>
        <sz val="10"/>
        <color theme="1"/>
      </font>
      <fill>
        <patternFill patternType="none"/>
      </fill>
      <alignment horizontal="center" vertical="center"/>
    </dxf>
    <dxf>
      <font>
        <name val="宋体"/>
        <scheme val="none"/>
        <b val="0"/>
        <i val="0"/>
        <strike val="0"/>
        <u val="none"/>
        <sz val="10"/>
        <color theme="1"/>
      </font>
      <numFmt numFmtId="181" formatCode="_-* #,##0.000_-;\-* #,##0.000_-;_-* &quot;-&quot;???_-;_-@_-"/>
      <fill>
        <patternFill patternType="none"/>
      </fill>
      <alignment horizontal="center" vertical="center"/>
    </dxf>
    <dxf>
      <font>
        <name val="宋体"/>
        <scheme val="none"/>
        <b val="0"/>
        <i val="0"/>
        <strike val="0"/>
        <u val="none"/>
        <sz val="10"/>
        <color theme="1"/>
      </font>
      <numFmt numFmtId="1" formatCode="0"/>
      <fill>
        <patternFill patternType="none"/>
      </fill>
      <alignment horizontal="center" vertical="center"/>
    </dxf>
    <dxf>
      <font>
        <name val="宋体"/>
        <scheme val="none"/>
        <b val="0"/>
        <i val="0"/>
        <strike val="0"/>
        <u val="none"/>
        <sz val="10"/>
        <color theme="1"/>
      </font>
      <numFmt numFmtId="178" formatCode="_-* #,##0.00_-;\-* #,##0.00_-;_-* &quot;-&quot;??_-;_-@_-"/>
      <fill>
        <patternFill patternType="none"/>
      </fill>
    </dxf>
    <dxf>
      <font>
        <name val="宋体"/>
        <scheme val="none"/>
        <b val="0"/>
        <strike val="0"/>
        <u val="none"/>
        <sz val="10"/>
        <color theme="1"/>
      </font>
      <fill>
        <patternFill patternType="none"/>
      </fill>
      <alignment vertical="top"/>
    </dxf>
    <dxf>
      <font>
        <name val="宋体"/>
        <scheme val="none"/>
        <b val="0"/>
        <strike val="0"/>
        <u val="none"/>
        <sz val="10"/>
        <color theme="1"/>
      </font>
      <fill>
        <patternFill patternType="none"/>
      </fill>
      <alignment vertical="top"/>
    </dxf>
    <dxf>
      <fill>
        <patternFill patternType="solid">
          <bgColor rgb="FFFF0000"/>
        </patternFill>
      </fill>
    </dxf>
    <dxf>
      <font>
        <name val="宋体"/>
        <scheme val="none"/>
        <strike val="0"/>
        <u val="none"/>
        <sz val="9"/>
        <color theme="1"/>
      </font>
    </dxf>
    <dxf>
      <font>
        <name val="宋体"/>
        <scheme val="none"/>
        <b val="0"/>
        <i val="0"/>
        <strike val="0"/>
        <u val="none"/>
        <sz val="9"/>
        <color theme="1"/>
      </font>
      <alignment vertical="center" shrinkToFit="1"/>
    </dxf>
    <dxf>
      <font>
        <name val="宋体"/>
        <scheme val="none"/>
        <strike val="0"/>
        <u val="none"/>
        <sz val="9"/>
        <color theme="1"/>
      </font>
    </dxf>
    <dxf>
      <font>
        <name val="宋体"/>
        <scheme val="none"/>
        <strike val="0"/>
        <u val="none"/>
        <sz val="9"/>
        <color theme="1"/>
      </font>
      <alignment vertical="center" shrinkToFit="1"/>
    </dxf>
    <dxf>
      <font>
        <name val="宋体"/>
        <scheme val="none"/>
        <strike val="0"/>
        <u val="none"/>
        <sz val="9"/>
        <color theme="1"/>
      </font>
    </dxf>
    <dxf>
      <font>
        <name val="宋体"/>
        <scheme val="none"/>
        <strike val="0"/>
        <u val="none"/>
        <sz val="9"/>
        <color theme="1"/>
      </font>
    </dxf>
    <dxf>
      <font>
        <name val="宋体"/>
        <scheme val="none"/>
        <strike val="0"/>
        <u val="none"/>
        <sz val="9"/>
        <color theme="1"/>
      </font>
    </dxf>
    <dxf>
      <font>
        <name val="宋体"/>
        <scheme val="none"/>
        <strike val="0"/>
        <u val="none"/>
        <sz val="9"/>
        <color theme="1"/>
      </font>
    </dxf>
    <dxf>
      <font>
        <name val="宋体"/>
        <scheme val="none"/>
        <b val="0"/>
        <i val="0"/>
        <strike val="0"/>
        <u val="none"/>
        <sz val="9"/>
        <color theme="1"/>
      </font>
    </dxf>
    <dxf>
      <font>
        <name val="宋体"/>
        <scheme val="none"/>
        <b val="0"/>
        <i val="0"/>
        <strike val="0"/>
        <u val="none"/>
        <sz val="9"/>
        <color theme="1"/>
      </font>
      <alignment horizontal="center" vertical="center"/>
    </dxf>
    <dxf>
      <font>
        <name val="宋体"/>
        <scheme val="none"/>
        <b val="0"/>
        <i val="0"/>
        <strike val="0"/>
        <u val="none"/>
        <sz val="9"/>
        <color theme="1"/>
      </font>
      <alignment horizontal="center" vertical="center"/>
    </dxf>
    <dxf>
      <font>
        <name val="宋体"/>
        <scheme val="none"/>
        <strike val="0"/>
        <u val="none"/>
        <sz val="9"/>
        <color theme="1"/>
      </font>
      <alignment horizontal="center" vertical="center"/>
    </dxf>
    <dxf>
      <font>
        <name val="宋体"/>
        <scheme val="none"/>
        <strike val="0"/>
        <u val="none"/>
        <sz val="9"/>
        <color theme="1"/>
      </font>
      <alignment horizontal="center" vertical="center"/>
    </dxf>
    <dxf>
      <font>
        <name val="宋体"/>
        <scheme val="none"/>
        <strike val="0"/>
        <u val="none"/>
        <sz val="9"/>
        <color theme="1"/>
      </font>
    </dxf>
    <dxf>
      <font>
        <name val="宋体"/>
        <scheme val="none"/>
        <b val="0"/>
        <i val="0"/>
        <strike val="0"/>
        <u val="none"/>
        <sz val="10"/>
        <color theme="1"/>
      </font>
      <alignment horizontal="center" vertical="center"/>
    </dxf>
    <dxf>
      <font>
        <name val="宋体"/>
        <scheme val="none"/>
        <b val="0"/>
        <i val="0"/>
        <strike val="0"/>
        <u val="none"/>
        <sz val="10"/>
        <color theme="1"/>
      </font>
    </dxf>
    <dxf>
      <font>
        <name val="宋体"/>
        <scheme val="none"/>
        <b val="0"/>
        <i val="0"/>
        <strike val="0"/>
        <u val="none"/>
        <sz val="10"/>
        <color theme="1"/>
      </font>
      <numFmt numFmtId="178" formatCode="_-* #,##0.00_-;\-* #,##0.00_-;_-* &quot;-&quot;??_-;_-@_-"/>
    </dxf>
    <dxf>
      <font>
        <name val="宋体"/>
        <scheme val="none"/>
        <b val="0"/>
        <i val="0"/>
        <strike val="0"/>
        <u val="none"/>
        <sz val="10"/>
        <color theme="1"/>
      </font>
      <numFmt numFmtId="178" formatCode="_-* #,##0.00_-;\-* #,##0.00_-;_-* &quot;-&quot;??_-;_-@_-"/>
    </dxf>
    <dxf>
      <font>
        <name val="宋体"/>
        <scheme val="none"/>
        <b val="0"/>
        <i val="0"/>
        <strike val="0"/>
        <u val="none"/>
        <sz val="10"/>
        <color theme="1"/>
      </font>
      <numFmt numFmtId="178" formatCode="_-* #,##0.00_-;\-* #,##0.00_-;_-* &quot;-&quot;??_-;_-@_-"/>
    </dxf>
    <dxf>
      <font>
        <name val="宋体"/>
        <scheme val="none"/>
        <b val="0"/>
        <i val="0"/>
        <strike val="0"/>
        <u val="none"/>
        <sz val="10"/>
        <color theme="1"/>
      </font>
      <alignment horizontal="center" vertical="center"/>
    </dxf>
    <dxf>
      <font>
        <name val="宋体"/>
        <scheme val="none"/>
        <b val="0"/>
        <i val="0"/>
        <strike val="0"/>
        <u val="none"/>
        <sz val="10"/>
        <color theme="1"/>
      </font>
      <numFmt numFmtId="178" formatCode="_-* #,##0.00_-;\-* #,##0.00_-;_-* &quot;-&quot;??_-;_-@_-"/>
    </dxf>
    <dxf>
      <alignment horizontal="center" vertical="center"/>
    </dxf>
    <dxf>
      <alignment horizontal="center" vertical="center"/>
    </dxf>
    <dxf>
      <numFmt numFmtId="178" formatCode="_-* #,##0.00_-;\-* #,##0.00_-;_-* &quot;-&quot;??_-;_-@_-"/>
    </dxf>
    <dxf>
      <font>
        <name val="宋体"/>
        <scheme val="none"/>
        <b val="0"/>
        <i val="0"/>
        <strike val="0"/>
        <u val="none"/>
        <sz val="10"/>
        <color theme="1"/>
      </font>
      <numFmt numFmtId="178" formatCode="_-* #,##0.00_-;\-* #,##0.00_-;_-* &quot;-&quot;??_-;_-@_-"/>
    </dxf>
    <dxf>
      <font>
        <name val="宋体"/>
        <scheme val="none"/>
        <b val="0"/>
        <i val="0"/>
        <strike val="0"/>
        <u val="none"/>
        <sz val="10"/>
        <color theme="1"/>
      </font>
      <numFmt numFmtId="178" formatCode="_-* #,##0.00_-;\-* #,##0.00_-;_-* &quot;-&quot;??_-;_-@_-"/>
    </dxf>
    <dxf>
      <font>
        <name val="宋体"/>
        <scheme val="none"/>
        <b val="0"/>
        <i val="0"/>
        <strike val="0"/>
        <u val="none"/>
        <sz val="10"/>
        <color theme="1"/>
      </font>
      <alignment horizontal="center" vertical="center"/>
    </dxf>
    <dxf>
      <font>
        <name val="宋体"/>
        <scheme val="none"/>
        <b val="0"/>
        <i val="0"/>
        <strike val="0"/>
        <u val="none"/>
        <sz val="10"/>
        <color theme="1"/>
      </font>
      <numFmt numFmtId="178" formatCode="_-* #,##0.00_-;\-* #,##0.00_-;_-* &quot;-&quot;??_-;_-@_-"/>
    </dxf>
    <dxf>
      <alignment horizontal="center" vertical="center"/>
    </dxf>
    <dxf>
      <alignment horizontal="center" vertical="center"/>
    </dxf>
    <dxf>
      <alignment horizontal="center" vertical="center"/>
    </dxf>
    <dxf>
      <font>
        <name val="宋体"/>
        <scheme val="none"/>
        <b val="0"/>
        <i val="0"/>
        <strike val="0"/>
        <u val="none"/>
        <sz val="10"/>
        <color theme="1"/>
      </font>
    </dxf>
    <dxf>
      <alignment horizontal="right" vertical="center"/>
    </dxf>
    <dxf>
      <alignment horizontal="right" vertical="center"/>
    </dxf>
    <dxf>
      <numFmt numFmtId="178" formatCode="_-* #,##0.00_-;\-* #,##0.00_-;_-* &quot;-&quot;??_-;_-@_-"/>
    </dxf>
    <dxf/>
    <dxf>
      <numFmt numFmtId="178" formatCode="_-* #,##0.00_-;\-* #,##0.00_-;_-* &quot;-&quot;??_-;_-@_-"/>
    </dxf>
    <dxf/>
    <dxf>
      <numFmt numFmtId="178" formatCode="_-* #,##0.00_-;\-* #,##0.00_-;_-* &quot;-&quot;??_-;_-@_-"/>
      <alignment horizontal="center" vertical="center"/>
    </dxf>
    <dxf>
      <numFmt numFmtId="178" formatCode="_-* #,##0.00_-;\-* #,##0.00_-;_-* &quot;-&quot;??_-;_-@_-"/>
    </dxf>
    <dxf>
      <numFmt numFmtId="178" formatCode="_-* #,##0.00_-;\-* #,##0.00_-;_-* &quot;-&quot;??_-;_-@_-"/>
    </dxf>
    <dxf>
      <numFmt numFmtId="178" formatCode="_-* #,##0.00_-;\-* #,##0.00_-;_-* &quot;-&quot;??_-;_-@_-"/>
    </dxf>
    <dxf>
      <font>
        <name val="宋体"/>
        <scheme val="none"/>
        <b val="0"/>
        <i val="0"/>
        <strike val="0"/>
        <u val="none"/>
        <sz val="10"/>
        <color theme="1"/>
      </font>
    </dxf>
    <dxf>
      <font>
        <name val="宋体"/>
        <scheme val="none"/>
        <b val="0"/>
        <i val="0"/>
        <strike val="0"/>
        <u val="none"/>
        <sz val="10"/>
        <color theme="1"/>
      </font>
    </dxf>
    <dxf>
      <font>
        <name val="宋体"/>
        <scheme val="none"/>
        <b val="0"/>
        <i val="0"/>
        <strike val="0"/>
        <u val="none"/>
        <sz val="10"/>
        <color theme="1"/>
      </font>
    </dxf>
    <dxf>
      <font>
        <name val="宋体"/>
        <scheme val="none"/>
        <b val="0"/>
        <i val="0"/>
        <strike val="0"/>
        <u val="none"/>
        <sz val="10"/>
        <color theme="1"/>
      </font>
      <alignment horizontal="center" vertical="center"/>
    </dxf>
    <dxf>
      <font>
        <name val="宋体"/>
        <scheme val="none"/>
        <b val="0"/>
        <i val="0"/>
        <strike val="0"/>
        <u val="none"/>
        <sz val="10"/>
        <color theme="1"/>
      </font>
    </dxf>
    <dxf>
      <font>
        <name val="宋体"/>
        <scheme val="none"/>
        <b val="0"/>
        <i val="0"/>
        <strike val="0"/>
        <u val="none"/>
        <sz val="10"/>
        <color theme="1"/>
      </font>
    </dxf>
    <dxf>
      <font>
        <name val="宋体"/>
        <scheme val="none"/>
        <b val="0"/>
        <i val="0"/>
        <strike val="0"/>
        <u val="none"/>
        <sz val="10"/>
        <color theme="1"/>
      </font>
    </dxf>
    <dxf>
      <font>
        <name val="宋体"/>
        <scheme val="none"/>
        <b val="0"/>
        <i val="0"/>
        <strike val="0"/>
        <u val="none"/>
        <sz val="10"/>
        <color theme="1"/>
      </font>
    </dxf>
    <dxf>
      <font>
        <name val="宋体"/>
        <scheme val="none"/>
        <b val="0"/>
        <i val="0"/>
        <strike val="0"/>
        <u val="none"/>
        <sz val="10"/>
        <color theme="1"/>
      </font>
    </dxf>
    <dxf>
      <font>
        <name val="宋体"/>
        <scheme val="none"/>
        <b val="0"/>
        <i val="0"/>
        <strike val="0"/>
        <u val="none"/>
        <sz val="10"/>
        <color theme="1"/>
      </font>
    </dxf>
    <dxf>
      <font>
        <name val="宋体"/>
        <scheme val="none"/>
        <b val="0"/>
        <i val="0"/>
        <strike val="0"/>
        <u val="none"/>
        <sz val="10"/>
        <color theme="1"/>
      </font>
    </dxf>
    <dxf>
      <font>
        <name val="宋体"/>
        <scheme val="none"/>
        <b val="0"/>
        <i val="0"/>
        <strike val="0"/>
        <u val="none"/>
        <sz val="10"/>
        <color theme="1"/>
      </font>
    </dxf>
    <dxf>
      <font>
        <name val="宋体"/>
        <scheme val="none"/>
        <b val="0"/>
        <i val="0"/>
        <strike val="0"/>
        <u val="none"/>
        <sz val="10"/>
        <color theme="1"/>
      </font>
    </dxf>
    <dxf>
      <font>
        <name val="宋体"/>
        <scheme val="none"/>
        <b val="0"/>
        <i val="0"/>
        <strike val="0"/>
        <u val="none"/>
        <sz val="10"/>
        <color theme="1"/>
      </font>
    </dxf>
    <dxf>
      <font>
        <name val="宋体"/>
        <scheme val="none"/>
        <b val="0"/>
        <i val="0"/>
        <strike val="0"/>
        <u val="none"/>
        <sz val="10"/>
        <color theme="1"/>
      </font>
    </dxf>
    <dxf>
      <font>
        <name val="宋体"/>
        <scheme val="none"/>
        <b val="0"/>
        <i val="0"/>
        <strike val="0"/>
        <u val="none"/>
        <sz val="10"/>
        <color theme="1"/>
      </font>
    </dxf>
    <dxf>
      <font>
        <name val="宋体"/>
        <scheme val="none"/>
        <b val="0"/>
        <i val="0"/>
        <strike val="0"/>
        <u val="none"/>
        <sz val="10"/>
        <color theme="1"/>
      </font>
    </dxf>
    <dxf>
      <font>
        <name val="宋体"/>
        <scheme val="none"/>
        <b val="0"/>
        <i val="0"/>
        <strike val="0"/>
        <u val="none"/>
        <sz val="10"/>
        <color theme="1"/>
      </font>
      <alignment horizontal="center" vertical="center"/>
    </dxf>
    <dxf>
      <font>
        <name val="宋体"/>
        <scheme val="none"/>
        <b val="0"/>
        <i val="0"/>
        <strike val="0"/>
        <u val="none"/>
        <sz val="10"/>
        <color theme="1"/>
      </font>
      <numFmt numFmtId="178" formatCode="_-* #,##0.00_-;\-* #,##0.00_-;_-* &quot;-&quot;??_-;_-@_-"/>
    </dxf>
  </dxfs>
  <tableStyles count="0" defaultTableStyle="TableStyleMedium9" defaultPivotStyle="PivotStyleLight16"/>
  <colors>
    <mruColors>
      <color rgb="00FF33CC"/>
      <color rgb="00000000"/>
      <color rgb="0099FF99"/>
      <color rgb="0066FF99"/>
      <color rgb="00FFFF66"/>
      <color rgb="00CCFF33"/>
      <color rgb="0099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0" Type="http://schemas.microsoft.com/office/2006/relationships/vbaProject" Target="vbaProject.bin"/><Relationship Id="rId2" Type="http://schemas.openxmlformats.org/officeDocument/2006/relationships/worksheet" Target="worksheets/sheet2.xml"/><Relationship Id="rId19" Type="http://schemas.openxmlformats.org/officeDocument/2006/relationships/sharedStrings" Target="sharedStrings.xml"/><Relationship Id="rId18" Type="http://schemas.openxmlformats.org/officeDocument/2006/relationships/styles" Target="styles.xml"/><Relationship Id="rId17" Type="http://schemas.openxmlformats.org/officeDocument/2006/relationships/theme" Target="theme/theme1.xml"/><Relationship Id="rId16" Type="http://schemas.openxmlformats.org/officeDocument/2006/relationships/connections" Target="connections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r:id="rId1" ax:persistence="persistStreamInit"/>
</file>

<file path=xl/ctrlProps/ctrlProp3.xml><?xml version="1.0" encoding="utf-8"?>
<formControlPr xmlns="http://schemas.microsoft.com/office/spreadsheetml/2009/9/main" objectType="Spin" dx="16" fmlaLink="$E$2" max="30000" min="1" page="10" val="6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Drop" dropLines="55" dx="15" fmlaLink="$O$1" fmlaRange="科目代码!$J$2:$J$232" max="176" noThreeD="1" page="55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0</xdr:row>
          <xdr:rowOff>247650</xdr:rowOff>
        </xdr:from>
        <xdr:to>
          <xdr:col>7</xdr:col>
          <xdr:colOff>247650</xdr:colOff>
          <xdr:row>2</xdr:row>
          <xdr:rowOff>0</xdr:rowOff>
        </xdr:to>
        <xdr:sp>
          <xdr:nvSpPr>
            <xdr:cNvPr id="23553" name="Spinner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4352925" y="247650"/>
              <a:ext cx="2286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</xdr:row>
          <xdr:rowOff>171450</xdr:rowOff>
        </xdr:from>
        <xdr:to>
          <xdr:col>8</xdr:col>
          <xdr:colOff>619125</xdr:colOff>
          <xdr:row>2</xdr:row>
          <xdr:rowOff>180975</xdr:rowOff>
        </xdr:to>
        <xdr:sp macro="[0]!保存会计凭证">
          <xdr:nvSpPr>
            <xdr:cNvPr id="23555" name="Button 3" hidden="1">
              <a:extLst>
                <a:ext uri="{63B3BB69-23CF-44E3-9099-C40C66FF867C}">
                  <a14:compatExt spid="_x0000_s23555"/>
                </a:ext>
              </a:extLst>
            </xdr:cNvPr>
            <xdr:cNvSpPr/>
          </xdr:nvSpPr>
          <xdr:spPr>
            <a:xfrm>
              <a:off x="4981575" y="419100"/>
              <a:ext cx="1179830" cy="25717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保存会计凭证并打印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450215</xdr:colOff>
          <xdr:row>16</xdr:row>
          <xdr:rowOff>66675</xdr:rowOff>
        </xdr:from>
        <xdr:to>
          <xdr:col>2</xdr:col>
          <xdr:colOff>714375</xdr:colOff>
          <xdr:row>16</xdr:row>
          <xdr:rowOff>333375</xdr:rowOff>
        </xdr:to>
        <xdr:sp macro="[0]!调出会计凭证">
          <xdr:nvSpPr>
            <xdr:cNvPr id="23556" name="Button 4" hidden="1">
              <a:extLst>
                <a:ext uri="{63B3BB69-23CF-44E3-9099-C40C66FF867C}">
                  <a14:compatExt spid="_x0000_s23556"/>
                </a:ext>
              </a:extLst>
            </xdr:cNvPr>
            <xdr:cNvSpPr/>
          </xdr:nvSpPr>
          <xdr:spPr>
            <a:xfrm>
              <a:off x="758825" y="4010025"/>
              <a:ext cx="714375" cy="26670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调出凭证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16</xdr:row>
          <xdr:rowOff>57150</xdr:rowOff>
        </xdr:from>
        <xdr:to>
          <xdr:col>7</xdr:col>
          <xdr:colOff>76200</xdr:colOff>
          <xdr:row>16</xdr:row>
          <xdr:rowOff>333375</xdr:rowOff>
        </xdr:to>
        <xdr:sp macro="[0]!确认修改后保存">
          <xdr:nvSpPr>
            <xdr:cNvPr id="23557" name="Button 5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3115945" y="4000500"/>
              <a:ext cx="1294130" cy="27622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修改后保存并打印凭证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16</xdr:row>
          <xdr:rowOff>66675</xdr:rowOff>
        </xdr:from>
        <xdr:to>
          <xdr:col>8</xdr:col>
          <xdr:colOff>981075</xdr:colOff>
          <xdr:row>16</xdr:row>
          <xdr:rowOff>323850</xdr:rowOff>
        </xdr:to>
        <xdr:sp macro="[0]!删除凭证">
          <xdr:nvSpPr>
            <xdr:cNvPr id="23559" name="Button 7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>
            <a:xfrm>
              <a:off x="5808980" y="4010025"/>
              <a:ext cx="714375" cy="25717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删除凭证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>
          <xdr:nvSpPr>
            <xdr:cNvPr id="23560" name="TextBox1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>
            <a:xfrm>
              <a:off x="308610" y="1962150"/>
              <a:ext cx="450215" cy="2857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4</xdr:col>
          <xdr:colOff>542925</xdr:colOff>
          <xdr:row>20</xdr:row>
          <xdr:rowOff>0</xdr:rowOff>
        </xdr:to>
        <xdr:sp>
          <xdr:nvSpPr>
            <xdr:cNvPr id="23561" name="ListBox1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>
            <a:xfrm>
              <a:off x="758825" y="1962150"/>
              <a:ext cx="2842895" cy="2914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0</xdr:row>
          <xdr:rowOff>38100</xdr:rowOff>
        </xdr:from>
        <xdr:to>
          <xdr:col>8</xdr:col>
          <xdr:colOff>609600</xdr:colOff>
          <xdr:row>1</xdr:row>
          <xdr:rowOff>66675</xdr:rowOff>
        </xdr:to>
        <xdr:sp macro="[0]!xyk">
          <xdr:nvSpPr>
            <xdr:cNvPr id="23562" name="Button 10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>
            <a:xfrm>
              <a:off x="4981575" y="38100"/>
              <a:ext cx="1170305" cy="27622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编  制  凭  证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762000</xdr:colOff>
          <xdr:row>0</xdr:row>
          <xdr:rowOff>28575</xdr:rowOff>
        </xdr:from>
        <xdr:to>
          <xdr:col>8</xdr:col>
          <xdr:colOff>933450</xdr:colOff>
          <xdr:row>1</xdr:row>
          <xdr:rowOff>38100</xdr:rowOff>
        </xdr:to>
        <xdr:sp macro="[0]!资产表刷新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5695315" y="28575"/>
              <a:ext cx="1121410" cy="21907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刷新资产损益表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257175</xdr:colOff>
          <xdr:row>0</xdr:row>
          <xdr:rowOff>57150</xdr:rowOff>
        </xdr:from>
        <xdr:to>
          <xdr:col>20</xdr:col>
          <xdr:colOff>9525</xdr:colOff>
          <xdr:row>0</xdr:row>
          <xdr:rowOff>314325</xdr:rowOff>
        </xdr:to>
        <xdr:sp>
          <xdr:nvSpPr>
            <xdr:cNvPr id="7170" name="Drop Dow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8218170" y="57150"/>
              <a:ext cx="2152650" cy="257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2</xdr:row>
          <xdr:rowOff>285750</xdr:rowOff>
        </xdr:from>
        <xdr:to>
          <xdr:col>19</xdr:col>
          <xdr:colOff>171450</xdr:colOff>
          <xdr:row>3</xdr:row>
          <xdr:rowOff>200025</xdr:rowOff>
        </xdr:to>
        <xdr:sp macro="[0]!明细查找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9208770" y="619125"/>
              <a:ext cx="723900" cy="21907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打开明细账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904875</xdr:colOff>
          <xdr:row>0</xdr:row>
          <xdr:rowOff>66675</xdr:rowOff>
        </xdr:from>
        <xdr:to>
          <xdr:col>14</xdr:col>
          <xdr:colOff>1276350</xdr:colOff>
          <xdr:row>0</xdr:row>
          <xdr:rowOff>285750</xdr:rowOff>
        </xdr:to>
        <xdr:sp macro="[0]!扩展打印账页2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7248525" y="66675"/>
              <a:ext cx="371475" cy="21907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打印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</xdr:row>
          <xdr:rowOff>0</xdr:rowOff>
        </xdr:from>
        <xdr:to>
          <xdr:col>14</xdr:col>
          <xdr:colOff>0</xdr:colOff>
          <xdr:row>3</xdr:row>
          <xdr:rowOff>47625</xdr:rowOff>
        </xdr:to>
        <xdr:sp macro="[0]!Macro1">
          <xdr:nvSpPr>
            <xdr:cNvPr id="32769" name="Button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>
            <a:xfrm>
              <a:off x="7077710" y="400050"/>
              <a:ext cx="432435" cy="23812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按钮 1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查询来自 Excel Files_3" adjustColumnWidth="0" connectionId="6" autoFormatId="16" applyNumberFormats="0" applyBorderFormats="0" applyFontFormats="1" applyPatternFormats="1" applyAlignmentFormats="0" applyWidthHeightFormats="0">
  <queryTableRefresh preserveSortFilterLayout="1" nextId="4">
    <queryTableFields count="3">
      <queryTableField id="1" name="科目代码" tableColumnId="1"/>
      <queryTableField id="2" name="明细科目" tableColumnId="2"/>
      <queryTableField id="3" name="年初数" tableColumnId="3"/>
    </queryTableFields>
  </queryTableRefresh>
</queryTable>
</file>

<file path=xl/queryTables/queryTable2.xml><?xml version="1.0" encoding="utf-8"?>
<queryTable xmlns="http://schemas.openxmlformats.org/spreadsheetml/2006/main" name="查询来自 Excel Files_1" adjustColumnWidth="0" connectionId="7" autoFormatId="16" applyNumberFormats="0" applyBorderFormats="0" applyFontFormats="1" applyPatternFormats="1" applyAlignmentFormats="0" applyWidthHeightFormats="0">
  <queryTableRefresh preserveSortFilterLayout="1" nextId="4">
    <queryTableFields count="3">
      <queryTableField id="1" name="科目代码" tableColumnId="1"/>
      <queryTableField id="2" name="明细科目" tableColumnId="2"/>
      <queryTableField id="3" name="年初数" tableColumnId="3"/>
    </queryTableFields>
  </queryTableRefresh>
</queryTable>
</file>

<file path=xl/queryTables/queryTable3.xml><?xml version="1.0" encoding="utf-8"?>
<queryTable xmlns="http://schemas.openxmlformats.org/spreadsheetml/2006/main" name="查询来自 Excel Files_1" adjustColumnWidth="0" connectionId="2" autoFormatId="16" applyNumberFormats="0" applyBorderFormats="0" applyFontFormats="1" applyPatternFormats="1" applyAlignmentFormats="0" applyWidthHeightFormats="0">
  <queryTableRefresh preserveSortFilterLayout="1" nextId="10">
    <queryTableFields count="9">
      <queryTableField id="1" name="月" tableColumnId="1"/>
      <queryTableField id="2" name="日" tableColumnId="2"/>
      <queryTableField id="3" name="凭证号" tableColumnId="3"/>
      <queryTableField id="4" name="摘要" tableColumnId="4"/>
      <queryTableField id="5" name="数量" tableColumnId="5"/>
      <queryTableField id="6" name="单价" tableColumnId="6"/>
      <queryTableField id="7" name="借金额" tableColumnId="7"/>
      <queryTableField id="8" name="一" tableColumnId="8"/>
      <queryTableField id="9" name="贷金额" tableColumnId="9"/>
    </queryTableFields>
  </queryTableRefresh>
</queryTable>
</file>

<file path=xl/queryTables/queryTable4.xml><?xml version="1.0" encoding="utf-8"?>
<queryTable xmlns="http://schemas.openxmlformats.org/spreadsheetml/2006/main" name="查询来自 Excel Files" adjustColumnWidth="0" connectionId="4" autoFormatId="16" applyNumberFormats="0" applyBorderFormats="0" applyFontFormats="1" applyPatternFormats="1" applyAlignmentFormats="0" applyWidthHeightFormats="0">
  <queryTableRefresh preserveSortFilterLayout="1" nextId="8">
    <queryTableFields count="7">
      <queryTableField id="1" name="科目代码" tableColumnId="1"/>
      <queryTableField id="2" name="月" tableColumnId="2"/>
      <queryTableField id="3" name="日" tableColumnId="3"/>
      <queryTableField id="4" name="凭证号" tableColumnId="4"/>
      <queryTableField id="5" name="摘要" tableColumnId="5"/>
      <queryTableField id="6" name="借金额" tableColumnId="6"/>
      <queryTableField id="7" name="贷金额" tableColumnId="7"/>
    </queryTableFields>
  </queryTableRefresh>
</queryTable>
</file>

<file path=xl/queryTables/queryTable5.xml><?xml version="1.0" encoding="utf-8"?>
<queryTable xmlns="http://schemas.openxmlformats.org/spreadsheetml/2006/main" name="查询来自 开发_2" connectionId="9" autoFormatId="16" applyNumberFormats="0" applyBorderFormats="0" applyFontFormats="1" applyPatternFormats="1" applyAlignmentFormats="0" applyWidthHeightFormats="0">
  <queryTableRefresh preserveSortFilterLayout="1" nextId="3">
    <queryTableFields count="2">
      <queryTableField id="1" name="'AB'" tableColumnId="1"/>
      <queryTableField id="2" name="'AC'" tableColumnId="2"/>
    </queryTableFields>
  </queryTableRefresh>
</queryTable>
</file>

<file path=xl/queryTables/queryTable6.xml><?xml version="1.0" encoding="utf-8"?>
<queryTable xmlns="http://schemas.openxmlformats.org/spreadsheetml/2006/main" name="查询来自 开发_3" connectionId="10" autoFormatId="16" applyNumberFormats="0" applyBorderFormats="0" applyFontFormats="1" applyPatternFormats="1" applyAlignmentFormats="0" applyWidthHeightFormats="0">
  <queryTableRefresh preserveSortFilterLayout="1" nextId="3">
    <queryTableFields count="2">
      <queryTableField id="1" name="'a'" tableColumnId="1"/>
      <queryTableField id="2" name="'F'" tableColumnId="2"/>
    </queryTableFields>
  </queryTableRefresh>
</queryTable>
</file>

<file path=xl/queryTables/queryTable7.xml><?xml version="1.0" encoding="utf-8"?>
<queryTable xmlns="http://schemas.openxmlformats.org/spreadsheetml/2006/main" name="查询来自 Excel Files" connectionId="3" autoFormatId="16" applyNumberFormats="0" applyBorderFormats="0" applyFontFormats="1" applyPatternFormats="1" applyAlignmentFormats="0" applyWidthHeightFormats="0">
  <queryTableRefresh preserveSortFilterLayout="1" nextId="3">
    <queryTableFields count="2">
      <queryTableField id="1" name="Expr1000" tableColumnId="1"/>
      <queryTableField id="2" name="总账科目" tableColumnId="2"/>
    </queryTableFields>
  </queryTableRefresh>
</queryTable>
</file>

<file path=xl/queryTables/queryTable8.xml><?xml version="1.0" encoding="utf-8"?>
<queryTable xmlns="http://schemas.openxmlformats.org/spreadsheetml/2006/main" name="查询来自 Excel Files_1" connectionId="5" autoFormatId="16" applyNumberFormats="0" applyBorderFormats="0" applyFontFormats="1" applyPatternFormats="1" applyAlignmentFormats="0" applyWidthHeightFormats="0">
  <queryTableRefresh preserveSortFilterLayout="1" nextId="3">
    <queryTableFields count="2">
      <queryTableField id="1" name="科目代码" tableColumnId="1"/>
      <queryTableField id="2" name="'借贷发生额'" tableColumnId="2"/>
    </queryTableFields>
  </queryTableRefresh>
</queryTable>
</file>

<file path=xl/queryTables/queryTable9.xml><?xml version="1.0" encoding="utf-8"?>
<queryTable xmlns="http://schemas.openxmlformats.org/spreadsheetml/2006/main" name="查询来自 Excel Files_2" connectionId="8" autoFormatId="16" applyNumberFormats="0" applyBorderFormats="0" applyFontFormats="1" applyPatternFormats="1" applyAlignmentFormats="0" applyWidthHeightFormats="0">
  <queryTableRefresh preserveSortFilterLayout="1" nextId="3">
    <queryTableFields count="2">
      <queryTableField id="1" name="'科目代码'" tableColumnId="1"/>
      <queryTableField id="2" name="总账科目" tableColumnId="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id="1" name="KMDM" displayName="KMDM" ref="A1:K138" totalsRowShown="0">
  <tableColumns count="11">
    <tableColumn id="1" name="科目代码" dataDxfId="0"/>
    <tableColumn id="2" name="总账科目" dataDxfId="1"/>
    <tableColumn id="3" name="明细科目" dataDxfId="2"/>
    <tableColumn id="4" name="性质" dataDxfId="3"/>
    <tableColumn id="5" name="是否明细" dataDxfId="4"/>
    <tableColumn id="6" name="单位" dataDxfId="5"/>
    <tableColumn id="7" name="数量" dataDxfId="6"/>
    <tableColumn id="8" name="单价" dataDxfId="7"/>
    <tableColumn id="9" name="年初数" dataDxfId="8"/>
    <tableColumn id="10" name="代码-科目-明细" dataDxfId="9"/>
    <tableColumn id="11" name="期末余额" dataDxfId="10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id="2" name="PP" displayName="PP" ref="A1:N1400" totalsRowShown="0">
  <sortState ref="A1:N1400">
    <sortCondition ref="L2:L1368"/>
    <sortCondition ref="I2:I1368"/>
  </sortState>
  <tableColumns count="14">
    <tableColumn id="1" name="科目代码" dataDxfId="12"/>
    <tableColumn id="2" name="摘要" dataDxfId="13"/>
    <tableColumn id="3" name="总账科目" dataDxfId="14"/>
    <tableColumn id="4" name="明细科目" dataDxfId="15"/>
    <tableColumn id="5" name="数量" dataDxfId="16"/>
    <tableColumn id="6" name="单价" dataDxfId="17"/>
    <tableColumn id="7" name="借金额" dataDxfId="18"/>
    <tableColumn id="8" name="贷金额" dataDxfId="19"/>
    <tableColumn id="9" name="凭证号" dataDxfId="20"/>
    <tableColumn id="10" name="附件数" dataDxfId="21"/>
    <tableColumn id="11" name="年" dataDxfId="22"/>
    <tableColumn id="12" name="月" dataDxfId="23"/>
    <tableColumn id="13" name="日" dataDxfId="24"/>
    <tableColumn id="14" name="一" dataDxfId="2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1" name="XC" displayName="XC" ref="J2:P4" tableType="queryTable" totalsRowCount="1">
  <tableColumns count="7">
    <tableColumn id="1" name="科目代码" uniqueName="1" queryTableFieldId="1" totalsRowLabel="汇总" dataDxfId="26"/>
    <tableColumn id="2" name="明细科目" uniqueName="2" queryTableFieldId="2" dataDxfId="27"/>
    <tableColumn id="3" name="年初数" uniqueName="3" queryTableFieldId="3" totalsRowFunction="sum" dataDxfId="28"/>
    <tableColumn id="4" name="借方" uniqueName="4" queryTableFieldId="4" totalsRowFunction="sum" dataDxfId="29"/>
    <tableColumn id="5" name="贷方" uniqueName="5" queryTableFieldId="5" totalsRowFunction="sum" dataDxfId="30"/>
    <tableColumn id="6" name="借/贷" uniqueName="6" queryTableFieldId="6" dataDxfId="31"/>
    <tableColumn id="7" name="余额" uniqueName="7" queryTableFieldId="7" totalsRowFunction="custom">
      <calculatedColumnFormula>IF(VLOOKUP((D3&amp;"01")*1,KMDM[#Data],4,FALSE)=1,XC[[#Totals],[年初数]]+XC[[#Totals],[借方]]-XC[[#Totals],[贷方]],XC[[#Totals],[年初数]]-XC[[#Totals],[借方]]+XC[[#Totals],[贷方]])</calculatedColumnFormula>
      <totalsRowFormula>IF(VLOOKUP((D3&amp;"01")*1,KMDM[#Data],4,FALSE)=1,XC[[#Totals],[年初数]]+XC[[#Totals],[借方]]-XC[[#Totals],[贷方]],XC[[#Totals],[年初数]]-XC[[#Totals],[借方]]+XC[[#Totals],[贷方]])</totalsRowFormula>
       dataDxfId="32"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9" name="cc" displayName="cc" ref="A5:G20" tableType="queryTable" totalsRowCount="1">
  <tableColumns count="7">
    <tableColumn id="1" name="科目代码" uniqueName="1" queryTableFieldId="1" totalsRowLabel="汇总" dataDxfId="33"/>
    <tableColumn id="2" name="明细科目" uniqueName="2" queryTableFieldId="2" dataDxfId="34"/>
    <tableColumn id="3" name="年初数" uniqueName="3" queryTableFieldId="3" totalsRowFunction="sum" dataDxfId="35"/>
    <tableColumn id="4" name="借方" uniqueName="4" queryTableFieldId="4" totalsRowFunction="sum" dataDxfId="36"/>
    <tableColumn id="5" name="贷方" uniqueName="5" queryTableFieldId="5" totalsRowFunction="sum" dataDxfId="37"/>
    <tableColumn id="6" name="列3" uniqueName="6" queryTableFieldId="6" dataDxfId="38"/>
    <tableColumn id="7" name="列4" uniqueName="7" queryTableFieldId="7" totalsRowFunction="custom">
      <calculatedColumnFormula>IF(VLOOKUP((A4&amp;"01")*1,KMDM[#Data],4,FALSE)=1,cc[[#Totals],[年初数]]+cc[[#Totals],[借方]]-cc[[#Totals],[贷方]],cc[[#Totals],[年初数]]-cc[[#Totals],[借方]]+cc[[#Totals],[贷方]])</calculatedColumnFormula>
      <totalsRowFormula>IF(VLOOKUP((A4&amp;"01")*1,KMDM[#Data],4,FALSE)=1,cc[[#Totals],[年初数]]+cc[[#Totals],[借方]]-cc[[#Totals],[贷方]],cc[[#Totals],[年初数]]-cc[[#Totals],[借方]]+cc[[#Totals],[贷方]])</totalsRowFormula>
       dataDxfId="39"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3" name="表_查询来自_Excel_Files_114" displayName="表_查询来自_Excel_Files_114" ref="B7:O34" tableType="queryTable" totalsRowShown="0">
  <tableColumns count="14">
    <tableColumn id="1" name="月" uniqueName="1" queryTableFieldId="1" dataDxfId="40"/>
    <tableColumn id="2" name="日" uniqueName="2" queryTableFieldId="2" dataDxfId="41"/>
    <tableColumn id="3" name="凭证号" uniqueName="3" queryTableFieldId="3" dataDxfId="42"/>
    <tableColumn id="4" name="摘要" uniqueName="4" queryTableFieldId="4" dataDxfId="43"/>
    <tableColumn id="5" name="数量" uniqueName="5" queryTableFieldId="5" dataDxfId="44"/>
    <tableColumn id="6" name="单价" uniqueName="6" queryTableFieldId="6" dataDxfId="45"/>
    <tableColumn id="7" name="借金额" uniqueName="7" queryTableFieldId="7" dataDxfId="46"/>
    <tableColumn id="8" name="一" uniqueName="8" queryTableFieldId="8" dataDxfId="47"/>
    <tableColumn id="9" name="贷金额" uniqueName="9" queryTableFieldId="9" dataDxfId="48"/>
    <tableColumn id="10" name="列5" uniqueName="10" queryTableFieldId="10" dataDxfId="49"/>
    <tableColumn id="11" name="列1" uniqueName="11" queryTableFieldId="11" dataDxfId="50"/>
    <tableColumn id="12" name="列2" uniqueName="12" queryTableFieldId="12" dataDxfId="51"/>
    <tableColumn id="13" name="列3" uniqueName="13" queryTableFieldId="13" dataDxfId="52"/>
    <tableColumn id="14" name="列4" uniqueName="14" queryTableFieldId="14" dataDxfId="53"/>
  </tableColumns>
  <tableStyleInfo name="TableStyleLight20" showFirstColumn="0" showLastColumn="0" showRowStripes="1" showColumnStripes="0"/>
</table>
</file>

<file path=xl/tables/table6.xml><?xml version="1.0" encoding="utf-8"?>
<table xmlns="http://schemas.openxmlformats.org/spreadsheetml/2006/main" id="6" name="kk" displayName="kk" ref="A7:S36" tableType="queryTable" totalsRowShown="0">
  <autoFilter ref="A7:S36"/>
  <tableColumns count="19">
    <tableColumn id="1" name="科目代码" uniqueName="1" queryTableFieldId="1" dataDxfId="54"/>
    <tableColumn id="2" name="月" uniqueName="2" queryTableFieldId="2" dataDxfId="55"/>
    <tableColumn id="3" name="日" uniqueName="3" queryTableFieldId="3" dataDxfId="56"/>
    <tableColumn id="4" name="凭证号" uniqueName="4" queryTableFieldId="4" dataDxfId="57"/>
    <tableColumn id="5" name="摘要" uniqueName="5" queryTableFieldId="5" dataDxfId="58"/>
    <tableColumn id="6" name="借金额" uniqueName="6" queryTableFieldId="6" dataDxfId="59"/>
    <tableColumn id="7" name="贷金额" uniqueName="7" queryTableFieldId="7" dataDxfId="60"/>
    <tableColumn id="8" name="列1" uniqueName="8" queryTableFieldId="8" dataDxfId="61"/>
    <tableColumn id="9" name="列2" uniqueName="9" queryTableFieldId="9" dataDxfId="62"/>
    <tableColumn id="10" name="列3" uniqueName="10" queryTableFieldId="10" dataDxfId="63"/>
    <tableColumn id="11" name="列4" uniqueName="11" queryTableFieldId="11" dataDxfId="64"/>
    <tableColumn id="12" name="列5" uniqueName="12" queryTableFieldId="12" dataDxfId="65"/>
    <tableColumn id="13" name="列6" uniqueName="13" queryTableFieldId="13" dataDxfId="66"/>
    <tableColumn id="14" name="列7" uniqueName="14" queryTableFieldId="14" dataDxfId="67"/>
    <tableColumn id="15" name="列8" uniqueName="15" queryTableFieldId="15" dataDxfId="68"/>
    <tableColumn id="16" name="列9" uniqueName="16" queryTableFieldId="16" dataDxfId="69"/>
    <tableColumn id="17" name="列10" uniqueName="17" queryTableFieldId="17" dataDxfId="70"/>
    <tableColumn id="18" name="列102" uniqueName="18" queryTableFieldId="18" dataDxfId="71"/>
    <tableColumn id="19" name="列11" uniqueName="19" queryTableFieldId="19" dataDxfId="72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A" displayName="A" ref="A4:B20" tableType="queryTable" totalsRowShown="0">
  <tableColumns count="2">
    <tableColumn id="1" name="'AB'" uniqueName="1" queryTableFieldId="1"/>
    <tableColumn id="2" name="'AC'" uniqueName="2" queryTableFieldId="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4" name="B" displayName="B" ref="D4:F29" tableType="queryTable" totalsRowShown="0">
  <tableColumns count="3">
    <tableColumn id="1" name="'a'" uniqueName="1" queryTableFieldId="1"/>
    <tableColumn id="2" name="'F'" uniqueName="2" queryTableFieldId="2"/>
    <tableColumn id="3" name="列1" uniqueName="3" queryTableFieldId="3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5" name="zz" displayName="zz" ref="G4:I32" tableType="queryTable" totalsRowShown="0">
  <tableColumns count="3">
    <tableColumn id="1" name="Expr1000" uniqueName="1" queryTableFieldId="1"/>
    <tableColumn id="2" name="总账科目" uniqueName="2" queryTableFieldId="2"/>
    <tableColumn id="3" name="列1" uniqueName="3" queryTableFieldId="3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8" name="kl" displayName="kl" ref="K4:L132" tableType="queryTable" totalsRowShown="0">
  <autoFilter ref="K4:L132"/>
  <tableColumns count="2">
    <tableColumn id="1" name="科目代码" uniqueName="1" queryTableFieldId="1"/>
    <tableColumn id="2" name="'借贷发生额'" uniqueName="2" queryTableFieldId="2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3" name="ss" displayName="ss" ref="N1:O29" tableType="queryTable" totalsRowShown="0">
  <autoFilter ref="N1:O29"/>
  <tableColumns count="2">
    <tableColumn id="1" name="'科目代码'" uniqueName="1" queryTableFieldId="1"/>
    <tableColumn id="2" name="总账科目" uniqueName="2" queryTableFieldId="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5.xml"/><Relationship Id="rId8" Type="http://schemas.openxmlformats.org/officeDocument/2006/relationships/ctrlProp" Target="../ctrlProps/ctrlProp4.xml"/><Relationship Id="rId7" Type="http://schemas.openxmlformats.org/officeDocument/2006/relationships/ctrlProp" Target="../ctrlProps/ctrlProp3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2" Type="http://schemas.openxmlformats.org/officeDocument/2006/relationships/ctrlProp" Target="../ctrlProps/ctrlProp8.xml"/><Relationship Id="rId11" Type="http://schemas.openxmlformats.org/officeDocument/2006/relationships/ctrlProp" Target="../ctrlProps/ctrlProp7.xml"/><Relationship Id="rId10" Type="http://schemas.openxmlformats.org/officeDocument/2006/relationships/ctrlProp" Target="../ctrlProps/ctrlProp6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6" Type="http://schemas.openxmlformats.org/officeDocument/2006/relationships/table" Target="../tables/table5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5" Type="http://schemas.openxmlformats.org/officeDocument/2006/relationships/table" Target="../tables/table11.xml"/><Relationship Id="rId4" Type="http://schemas.openxmlformats.org/officeDocument/2006/relationships/table" Target="../tables/table10.xml"/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FF0000"/>
  </sheetPr>
  <dimension ref="A1:C24"/>
  <sheetViews>
    <sheetView workbookViewId="0">
      <selection activeCell="C11" sqref="C11"/>
    </sheetView>
  </sheetViews>
  <sheetFormatPr defaultColWidth="9" defaultRowHeight="15" outlineLevelCol="2"/>
  <cols>
    <col min="1" max="1" width="15.6285714285714" customWidth="1"/>
    <col min="2" max="2" width="31.6285714285714" style="116" customWidth="1"/>
    <col min="3" max="3" width="18.3714285714286" customWidth="1"/>
  </cols>
  <sheetData>
    <row r="1" ht="20.25" customHeight="1" spans="1:3">
      <c r="A1" s="377" t="s">
        <v>0</v>
      </c>
      <c r="B1" s="378"/>
      <c r="C1" s="379" t="s">
        <v>1</v>
      </c>
    </row>
    <row r="2" ht="20.25" customHeight="1" spans="1:2">
      <c r="A2" s="380" t="s">
        <v>2</v>
      </c>
      <c r="B2" s="381">
        <v>2014</v>
      </c>
    </row>
    <row r="3" ht="18.75" customHeight="1" spans="1:2">
      <c r="A3" s="382" t="s">
        <v>3</v>
      </c>
      <c r="B3" s="383" t="s">
        <v>4</v>
      </c>
    </row>
    <row r="4" ht="18.75" customHeight="1" spans="1:2">
      <c r="A4" s="382" t="s">
        <v>5</v>
      </c>
      <c r="B4" s="384" t="s">
        <v>6</v>
      </c>
    </row>
    <row r="5" ht="18.75" customHeight="1" spans="1:2">
      <c r="A5" s="385" t="s">
        <v>7</v>
      </c>
      <c r="B5" s="384" t="s">
        <v>8</v>
      </c>
    </row>
    <row r="6" ht="18.75" customHeight="1" spans="1:2">
      <c r="A6" s="385" t="s">
        <v>9</v>
      </c>
      <c r="B6" s="384" t="s">
        <v>10</v>
      </c>
    </row>
    <row r="7" ht="18.75" customHeight="1" spans="1:2">
      <c r="A7" s="385" t="s">
        <v>11</v>
      </c>
      <c r="B7" s="384" t="s">
        <v>12</v>
      </c>
    </row>
    <row r="8" ht="18.75" customHeight="1" spans="1:2">
      <c r="A8" s="385" t="s">
        <v>13</v>
      </c>
      <c r="B8" s="383" t="s">
        <v>14</v>
      </c>
    </row>
    <row r="9" ht="18.75" customHeight="1" spans="1:2">
      <c r="A9" s="385" t="s">
        <v>15</v>
      </c>
      <c r="B9" s="383" t="s">
        <v>16</v>
      </c>
    </row>
    <row r="10" ht="18.75" customHeight="1" spans="1:2">
      <c r="A10" s="382" t="s">
        <v>17</v>
      </c>
      <c r="B10" s="384" t="s">
        <v>18</v>
      </c>
    </row>
    <row r="11" ht="18.75" customHeight="1" spans="1:2">
      <c r="A11" s="382" t="s">
        <v>19</v>
      </c>
      <c r="B11" s="384" t="s">
        <v>20</v>
      </c>
    </row>
    <row r="12" ht="18.75" customHeight="1" spans="1:2">
      <c r="A12" s="385" t="s">
        <v>21</v>
      </c>
      <c r="B12" s="384" t="s">
        <v>22</v>
      </c>
    </row>
    <row r="13" ht="18.75" customHeight="1" spans="1:2">
      <c r="A13" s="382" t="s">
        <v>23</v>
      </c>
      <c r="B13" s="384" t="s">
        <v>24</v>
      </c>
    </row>
    <row r="14" ht="18.75" customHeight="1" spans="1:2">
      <c r="A14" s="382" t="s">
        <v>25</v>
      </c>
      <c r="B14" s="384" t="s">
        <v>26</v>
      </c>
    </row>
    <row r="15" ht="18.75" customHeight="1" spans="1:2">
      <c r="A15" s="382" t="s">
        <v>27</v>
      </c>
      <c r="B15" s="386" t="s">
        <v>28</v>
      </c>
    </row>
    <row r="16" ht="18.75" customHeight="1" spans="1:2">
      <c r="A16" s="382" t="s">
        <v>29</v>
      </c>
      <c r="B16" s="387"/>
    </row>
    <row r="17" ht="18.75" customHeight="1" spans="1:2">
      <c r="A17" s="382" t="s">
        <v>30</v>
      </c>
      <c r="B17" s="388">
        <v>579190</v>
      </c>
    </row>
    <row r="18" ht="18.75" customHeight="1" spans="1:2">
      <c r="A18" s="382" t="s">
        <v>31</v>
      </c>
      <c r="B18" s="388" t="s">
        <v>32</v>
      </c>
    </row>
    <row r="19" ht="18.75" customHeight="1" spans="1:2">
      <c r="A19" s="382" t="s">
        <v>33</v>
      </c>
      <c r="B19" s="387"/>
    </row>
    <row r="20" ht="18.75" customHeight="1" spans="1:2">
      <c r="A20" s="389" t="s">
        <v>34</v>
      </c>
      <c r="B20" s="384" t="s">
        <v>24</v>
      </c>
    </row>
    <row r="21" ht="18.75" customHeight="1" spans="1:2">
      <c r="A21" s="382"/>
      <c r="B21" s="387"/>
    </row>
    <row r="22" spans="1:2">
      <c r="A22" s="382"/>
      <c r="B22" s="387"/>
    </row>
    <row r="23" spans="1:2">
      <c r="A23" s="382"/>
      <c r="B23" s="387"/>
    </row>
    <row r="24" spans="1:2">
      <c r="A24" s="382"/>
      <c r="B24" s="387"/>
    </row>
  </sheetData>
  <mergeCells count="1">
    <mergeCell ref="A1:B1"/>
  </mergeCells>
  <pageMargins left="0.699305555555556" right="0.699305555555556" top="0.75" bottom="0.75" header="0.3" footer="0.3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tabColor rgb="FF00B050"/>
  </sheetPr>
  <dimension ref="A1:M148"/>
  <sheetViews>
    <sheetView topLeftCell="A13" workbookViewId="0">
      <selection activeCell="C37" sqref="C37"/>
    </sheetView>
  </sheetViews>
  <sheetFormatPr defaultColWidth="9" defaultRowHeight="12.75"/>
  <cols>
    <col min="1" max="1" width="8.37142857142857" style="360" customWidth="1"/>
    <col min="2" max="2" width="16.5047619047619" style="361" customWidth="1"/>
    <col min="3" max="3" width="23" style="361" customWidth="1"/>
    <col min="4" max="4" width="5" style="362" customWidth="1"/>
    <col min="5" max="5" width="4" style="362" customWidth="1"/>
    <col min="6" max="6" width="3" style="362" customWidth="1"/>
    <col min="7" max="7" width="3.75238095238095" style="363" customWidth="1"/>
    <col min="8" max="8" width="5.37142857142857" style="364" customWidth="1"/>
    <col min="9" max="9" width="12.6285714285714" style="365" customWidth="1"/>
    <col min="10" max="10" width="35" style="361" customWidth="1"/>
    <col min="11" max="11" width="11.8761904761905" style="361" customWidth="1"/>
    <col min="12" max="16384" width="9" style="361"/>
  </cols>
  <sheetData>
    <row r="1" ht="18" customHeight="1" spans="1:11">
      <c r="A1" s="360" t="s">
        <v>35</v>
      </c>
      <c r="B1" s="362" t="s">
        <v>36</v>
      </c>
      <c r="C1" s="362" t="s">
        <v>37</v>
      </c>
      <c r="D1" s="362" t="s">
        <v>38</v>
      </c>
      <c r="E1" s="362" t="s">
        <v>39</v>
      </c>
      <c r="F1" s="362" t="s">
        <v>40</v>
      </c>
      <c r="G1" s="363" t="s">
        <v>41</v>
      </c>
      <c r="H1" s="364" t="s">
        <v>42</v>
      </c>
      <c r="I1" s="374" t="s">
        <v>43</v>
      </c>
      <c r="J1" s="362" t="s">
        <v>44</v>
      </c>
      <c r="K1" s="362" t="s">
        <v>45</v>
      </c>
    </row>
    <row r="2" ht="15" spans="1:13">
      <c r="A2">
        <v>100101</v>
      </c>
      <c r="B2" t="s">
        <v>46</v>
      </c>
      <c r="C2" s="366" t="s">
        <v>14</v>
      </c>
      <c r="D2">
        <v>1</v>
      </c>
      <c r="E2" s="367"/>
      <c r="F2" s="368"/>
      <c r="I2" s="364">
        <v>14541.7999999999</v>
      </c>
      <c r="J2" s="375" t="str">
        <f>KMDM[[#This Row],[科目代码]]&amp;"-"&amp;KMDM[[#This Row],[总账科目]]&amp;"-"&amp;KMDM[[#This Row],[明细科目]]</f>
        <v>100101-现金-张新暖</v>
      </c>
      <c r="K2" s="375">
        <f>IFERROR(VLOOKUP(KMDM[[#This Row],[科目代码]],kl[#Data],2,FALSE),0)+KMDM[[#This Row],[年初数]]</f>
        <v>96822.3499999999</v>
      </c>
      <c r="L2"/>
      <c r="M2"/>
    </row>
    <row r="3" ht="15" spans="1:13">
      <c r="A3">
        <v>100201</v>
      </c>
      <c r="B3" t="s">
        <v>47</v>
      </c>
      <c r="C3" s="366" t="s">
        <v>48</v>
      </c>
      <c r="D3">
        <v>1</v>
      </c>
      <c r="F3" s="369"/>
      <c r="I3" s="364">
        <v>321591.2</v>
      </c>
      <c r="J3" s="375" t="str">
        <f>KMDM[[#This Row],[科目代码]]&amp;"-"&amp;KMDM[[#This Row],[总账科目]]&amp;"-"&amp;KMDM[[#This Row],[明细科目]]</f>
        <v>100201-银行存款-基本账户</v>
      </c>
      <c r="K3" s="375">
        <f>IFERROR(VLOOKUP(KMDM[[#This Row],[科目代码]],kl[#Data],2,FALSE),0)+KMDM[[#This Row],[年初数]]</f>
        <v>-5682.35999999969</v>
      </c>
      <c r="L3"/>
      <c r="M3"/>
    </row>
    <row r="4" ht="15" spans="1:13">
      <c r="A4">
        <v>112201</v>
      </c>
      <c r="B4" t="s">
        <v>49</v>
      </c>
      <c r="C4" s="366" t="s">
        <v>50</v>
      </c>
      <c r="D4">
        <v>1</v>
      </c>
      <c r="F4" s="369"/>
      <c r="I4" s="364">
        <v>46900</v>
      </c>
      <c r="J4" s="375" t="str">
        <f>KMDM[[#This Row],[科目代码]]&amp;"-"&amp;KMDM[[#This Row],[总账科目]]&amp;"-"&amp;KMDM[[#This Row],[明细科目]]</f>
        <v>112201-应收账款-江苏大学</v>
      </c>
      <c r="K4" s="375">
        <f>IFERROR(VLOOKUP(KMDM[[#This Row],[科目代码]],kl[#Data],2,FALSE),0)+KMDM[[#This Row],[年初数]]</f>
        <v>12750</v>
      </c>
      <c r="L4"/>
      <c r="M4"/>
    </row>
    <row r="5" ht="15" spans="1:13">
      <c r="A5">
        <v>112202</v>
      </c>
      <c r="B5" t="s">
        <v>49</v>
      </c>
      <c r="C5" s="366" t="s">
        <v>51</v>
      </c>
      <c r="D5">
        <v>1</v>
      </c>
      <c r="F5" s="369"/>
      <c r="I5" s="364">
        <v>116600</v>
      </c>
      <c r="J5" s="375" t="str">
        <f>KMDM[[#This Row],[科目代码]]&amp;"-"&amp;KMDM[[#This Row],[总账科目]]&amp;"-"&amp;KMDM[[#This Row],[明细科目]]</f>
        <v>112202-应收账款-电梯安装/西德/东郡华庭</v>
      </c>
      <c r="K5" s="375">
        <f>IFERROR(VLOOKUP(KMDM[[#This Row],[科目代码]],kl[#Data],2,FALSE),0)+KMDM[[#This Row],[年初数]]</f>
        <v>0</v>
      </c>
      <c r="L5"/>
      <c r="M5"/>
    </row>
    <row r="6" ht="15" spans="1:13">
      <c r="A6">
        <v>112203</v>
      </c>
      <c r="B6" t="s">
        <v>49</v>
      </c>
      <c r="C6" s="366" t="s">
        <v>52</v>
      </c>
      <c r="D6">
        <v>1</v>
      </c>
      <c r="F6" s="369"/>
      <c r="I6" s="364">
        <v>52010</v>
      </c>
      <c r="J6" s="375" t="str">
        <f>KMDM[[#This Row],[科目代码]]&amp;"-"&amp;KMDM[[#This Row],[总账科目]]&amp;"-"&amp;KMDM[[#This Row],[明细科目]]</f>
        <v>112203-应收账款-东郡华庭五方通话项目</v>
      </c>
      <c r="K6" s="375">
        <f>IFERROR(VLOOKUP(KMDM[[#This Row],[科目代码]],kl[#Data],2,FALSE),0)+KMDM[[#This Row],[年初数]]</f>
        <v>0</v>
      </c>
      <c r="L6"/>
      <c r="M6"/>
    </row>
    <row r="7" ht="15" spans="1:13">
      <c r="A7">
        <v>112204</v>
      </c>
      <c r="B7" t="s">
        <v>49</v>
      </c>
      <c r="C7" s="366" t="s">
        <v>53</v>
      </c>
      <c r="D7">
        <v>1</v>
      </c>
      <c r="F7" s="369"/>
      <c r="I7" s="364">
        <v>11550</v>
      </c>
      <c r="J7" s="375" t="str">
        <f>KMDM[[#This Row],[科目代码]]&amp;"-"&amp;KMDM[[#This Row],[总账科目]]&amp;"-"&amp;KMDM[[#This Row],[明细科目]]</f>
        <v>112204-应收账款-电梯维保</v>
      </c>
      <c r="K7" s="375">
        <f>IFERROR(VLOOKUP(KMDM[[#This Row],[科目代码]],kl[#Data],2,FALSE),0)+KMDM[[#This Row],[年初数]]</f>
        <v>7500</v>
      </c>
      <c r="L7"/>
      <c r="M7"/>
    </row>
    <row r="8" ht="15" spans="1:13">
      <c r="A8">
        <v>112205</v>
      </c>
      <c r="B8" t="s">
        <v>49</v>
      </c>
      <c r="C8" s="366" t="s">
        <v>54</v>
      </c>
      <c r="D8">
        <v>1</v>
      </c>
      <c r="F8" s="369"/>
      <c r="I8" s="364">
        <v>0</v>
      </c>
      <c r="J8" s="375" t="str">
        <f>KMDM[[#This Row],[科目代码]]&amp;"-"&amp;KMDM[[#This Row],[总账科目]]&amp;"-"&amp;KMDM[[#This Row],[明细科目]]</f>
        <v>112205-应收账款-电梯配件</v>
      </c>
      <c r="K8" s="375">
        <f>IFERROR(VLOOKUP(KMDM[[#This Row],[科目代码]],kl[#Data],2,FALSE),0)+KMDM[[#This Row],[年初数]]</f>
        <v>200</v>
      </c>
      <c r="L8"/>
      <c r="M8"/>
    </row>
    <row r="9" ht="15" spans="1:13">
      <c r="A9">
        <v>112206</v>
      </c>
      <c r="B9" t="s">
        <v>49</v>
      </c>
      <c r="C9" s="366" t="s">
        <v>55</v>
      </c>
      <c r="D9">
        <v>1</v>
      </c>
      <c r="F9" s="369"/>
      <c r="I9" s="364"/>
      <c r="J9" s="375" t="str">
        <f>KMDM[[#This Row],[科目代码]]&amp;"-"&amp;KMDM[[#This Row],[总账科目]]&amp;"-"&amp;KMDM[[#This Row],[明细科目]]</f>
        <v>112206-应收账款-代西德等垫付款</v>
      </c>
      <c r="K9" s="375">
        <f>IFERROR(VLOOKUP(KMDM[[#This Row],[科目代码]],kl[#Data],2,FALSE),0)+KMDM[[#This Row],[年初数]]</f>
        <v>0</v>
      </c>
      <c r="L9"/>
      <c r="M9"/>
    </row>
    <row r="10" ht="15" spans="1:13">
      <c r="A10">
        <v>112207</v>
      </c>
      <c r="B10" t="s">
        <v>49</v>
      </c>
      <c r="C10" s="366" t="s">
        <v>56</v>
      </c>
      <c r="D10">
        <v>1</v>
      </c>
      <c r="F10" s="369"/>
      <c r="I10" s="364"/>
      <c r="J10" s="375" t="str">
        <f>KMDM[[#This Row],[科目代码]]&amp;"-"&amp;KMDM[[#This Row],[总账科目]]&amp;"-"&amp;KMDM[[#This Row],[明细科目]]</f>
        <v>112207-应收账款-丹徒区科创建设有限公司</v>
      </c>
      <c r="K10" s="375">
        <f>IFERROR(VLOOKUP(KMDM[[#This Row],[科目代码]],kl[#Data],2,FALSE),0)+KMDM[[#This Row],[年初数]]</f>
        <v>0</v>
      </c>
      <c r="L10"/>
      <c r="M10"/>
    </row>
    <row r="11" ht="15" spans="1:13">
      <c r="A11">
        <v>112208</v>
      </c>
      <c r="B11" t="s">
        <v>49</v>
      </c>
      <c r="C11" s="366" t="s">
        <v>57</v>
      </c>
      <c r="D11">
        <v>1</v>
      </c>
      <c r="F11" s="369"/>
      <c r="I11" s="364"/>
      <c r="J11" s="375" t="str">
        <f>KMDM[[#This Row],[科目代码]]&amp;"-"&amp;KMDM[[#This Row],[总账科目]]&amp;"-"&amp;KMDM[[#This Row],[明细科目]]</f>
        <v>112208-应收账款-无锡宝骏科技有限公司</v>
      </c>
      <c r="K11" s="375">
        <f>IFERROR(VLOOKUP(KMDM[[#This Row],[科目代码]],kl[#Data],2,FALSE),0)+KMDM[[#This Row],[年初数]]</f>
        <v>48000</v>
      </c>
      <c r="L11"/>
      <c r="M11"/>
    </row>
    <row r="12" ht="15" spans="1:13">
      <c r="A12">
        <v>112209</v>
      </c>
      <c r="B12" t="s">
        <v>49</v>
      </c>
      <c r="C12" s="366" t="s">
        <v>58</v>
      </c>
      <c r="D12">
        <v>1</v>
      </c>
      <c r="F12" s="369"/>
      <c r="I12" s="364"/>
      <c r="J12" s="375" t="str">
        <f>KMDM[[#This Row],[科目代码]]&amp;"-"&amp;KMDM[[#This Row],[总账科目]]&amp;"-"&amp;KMDM[[#This Row],[明细科目]]</f>
        <v>112209-应收账款-镇江中远置业有限公司</v>
      </c>
      <c r="K12" s="375">
        <f>IFERROR(VLOOKUP(KMDM[[#This Row],[科目代码]],kl[#Data],2,FALSE),0)+KMDM[[#This Row],[年初数]]</f>
        <v>8668</v>
      </c>
      <c r="L12"/>
      <c r="M12"/>
    </row>
    <row r="13" ht="15" spans="1:13">
      <c r="A13">
        <v>112210</v>
      </c>
      <c r="B13" t="s">
        <v>49</v>
      </c>
      <c r="C13" s="366" t="s">
        <v>59</v>
      </c>
      <c r="D13">
        <v>1</v>
      </c>
      <c r="F13" s="369"/>
      <c r="I13" s="364"/>
      <c r="J13" s="375" t="str">
        <f>KMDM[[#This Row],[科目代码]]&amp;"-"&amp;KMDM[[#This Row],[总账科目]]&amp;"-"&amp;KMDM[[#This Row],[明细科目]]</f>
        <v>112210-应收账款-惠龙长江港务</v>
      </c>
      <c r="K13" s="375">
        <f>IFERROR(VLOOKUP(KMDM[[#This Row],[科目代码]],kl[#Data],2,FALSE),0)+KMDM[[#This Row],[年初数]]</f>
        <v>34000</v>
      </c>
      <c r="L13"/>
      <c r="M13"/>
    </row>
    <row r="14" ht="15" spans="1:13">
      <c r="A14">
        <v>112211</v>
      </c>
      <c r="B14" t="s">
        <v>49</v>
      </c>
      <c r="C14" s="366" t="s">
        <v>60</v>
      </c>
      <c r="D14">
        <v>1</v>
      </c>
      <c r="F14" s="369"/>
      <c r="I14" s="364"/>
      <c r="J14" s="375" t="str">
        <f>KMDM[[#This Row],[科目代码]]&amp;"-"&amp;KMDM[[#This Row],[总账科目]]&amp;"-"&amp;KMDM[[#This Row],[明细科目]]</f>
        <v>112211-应收账款-上海永大/无锡宝骏/押金</v>
      </c>
      <c r="K14" s="375">
        <f>IFERROR(VLOOKUP(KMDM[[#This Row],[科目代码]],kl[#Data],2,FALSE),0)+KMDM[[#This Row],[年初数]]</f>
        <v>0</v>
      </c>
      <c r="L14"/>
      <c r="M14"/>
    </row>
    <row r="15" ht="15" spans="1:13">
      <c r="A15">
        <v>112212</v>
      </c>
      <c r="B15" t="s">
        <v>49</v>
      </c>
      <c r="C15" s="366" t="s">
        <v>61</v>
      </c>
      <c r="D15">
        <v>1</v>
      </c>
      <c r="F15" s="369"/>
      <c r="I15" s="361"/>
      <c r="J15" s="375" t="str">
        <f>KMDM[[#This Row],[科目代码]]&amp;"-"&amp;KMDM[[#This Row],[总账科目]]&amp;"-"&amp;KMDM[[#This Row],[明细科目]]</f>
        <v>112212-应收账款-西继迅达/华实/押金</v>
      </c>
      <c r="K15" s="375">
        <f>IFERROR(VLOOKUP(KMDM[[#This Row],[科目代码]],kl[#Data],2,FALSE),0)+KMDM[[#This Row],[年初数]]</f>
        <v>8000</v>
      </c>
      <c r="L15"/>
      <c r="M15"/>
    </row>
    <row r="16" ht="15" spans="1:13">
      <c r="A16">
        <v>112213</v>
      </c>
      <c r="B16" t="s">
        <v>49</v>
      </c>
      <c r="C16" s="370" t="s">
        <v>62</v>
      </c>
      <c r="D16">
        <v>1</v>
      </c>
      <c r="F16" s="369"/>
      <c r="J16" s="375" t="str">
        <f>KMDM[[#This Row],[科目代码]]&amp;"-"&amp;KMDM[[#This Row],[总账科目]]&amp;"-"&amp;KMDM[[#This Row],[明细科目]]</f>
        <v>112213-应收账款-镇江供电公司</v>
      </c>
      <c r="K16" s="375">
        <f>IFERROR(VLOOKUP(KMDM[[#This Row],[科目代码]],kl[#Data],2,FALSE),0)+KMDM[[#This Row],[年初数]]</f>
        <v>412800</v>
      </c>
      <c r="L16"/>
      <c r="M16"/>
    </row>
    <row r="17" ht="15" spans="1:13">
      <c r="A17">
        <v>112214</v>
      </c>
      <c r="B17" t="s">
        <v>49</v>
      </c>
      <c r="C17" s="370" t="s">
        <v>63</v>
      </c>
      <c r="D17">
        <v>1</v>
      </c>
      <c r="F17" s="369"/>
      <c r="J17" s="375" t="str">
        <f>KMDM[[#This Row],[科目代码]]&amp;"-"&amp;KMDM[[#This Row],[总账科目]]&amp;"-"&amp;KMDM[[#This Row],[明细科目]]</f>
        <v>112214-应收账款-无锡红豆置业公司镇江分公司</v>
      </c>
      <c r="K17" s="375">
        <f>IFERROR(VLOOKUP(KMDM[[#This Row],[科目代码]],kl[#Data],2,FALSE),0)+KMDM[[#This Row],[年初数]]</f>
        <v>23000</v>
      </c>
      <c r="L17"/>
      <c r="M17"/>
    </row>
    <row r="18" ht="15" spans="1:11">
      <c r="A18">
        <v>112301</v>
      </c>
      <c r="B18" t="s">
        <v>64</v>
      </c>
      <c r="C18" s="366" t="s">
        <v>65</v>
      </c>
      <c r="D18">
        <v>1</v>
      </c>
      <c r="E18" s="371"/>
      <c r="F18" s="371"/>
      <c r="I18" s="361">
        <v>80940</v>
      </c>
      <c r="J18" s="375" t="str">
        <f>KMDM[[#This Row],[科目代码]]&amp;"-"&amp;KMDM[[#This Row],[总账科目]]&amp;"-"&amp;KMDM[[#This Row],[明细科目]]</f>
        <v>112301-预付账款-西继迅达/惠龙长江港务</v>
      </c>
      <c r="K18" s="375">
        <f>IFERROR(VLOOKUP(KMDM[[#This Row],[科目代码]],kl[#Data],2,FALSE),0)+KMDM[[#This Row],[年初数]]</f>
        <v>0</v>
      </c>
    </row>
    <row r="19" ht="15" spans="1:11">
      <c r="A19">
        <v>112302</v>
      </c>
      <c r="B19" t="s">
        <v>64</v>
      </c>
      <c r="C19" s="366" t="s">
        <v>66</v>
      </c>
      <c r="D19">
        <v>1</v>
      </c>
      <c r="E19" s="371"/>
      <c r="F19" s="371"/>
      <c r="I19" s="361">
        <v>8000</v>
      </c>
      <c r="J19" s="375" t="str">
        <f>KMDM[[#This Row],[科目代码]]&amp;"-"&amp;KMDM[[#This Row],[总账科目]]&amp;"-"&amp;KMDM[[#This Row],[明细科目]]</f>
        <v>112302-预付账款-西继迅达/华实市政</v>
      </c>
      <c r="K19" s="375">
        <f>IFERROR(VLOOKUP(KMDM[[#This Row],[科目代码]],kl[#Data],2,FALSE),0)+KMDM[[#This Row],[年初数]]</f>
        <v>0</v>
      </c>
    </row>
    <row r="20" ht="15" spans="1:11">
      <c r="A20">
        <v>112303</v>
      </c>
      <c r="B20" t="s">
        <v>64</v>
      </c>
      <c r="C20" s="366" t="s">
        <v>67</v>
      </c>
      <c r="D20">
        <v>1</v>
      </c>
      <c r="E20" s="371"/>
      <c r="F20" s="371"/>
      <c r="I20" s="361">
        <v>24200</v>
      </c>
      <c r="J20" s="375" t="str">
        <f>KMDM[[#This Row],[科目代码]]&amp;"-"&amp;KMDM[[#This Row],[总账科目]]&amp;"-"&amp;KMDM[[#This Row],[明细科目]]</f>
        <v>112303-预付账款-上海永大电梯/无锡</v>
      </c>
      <c r="K20" s="375">
        <f>IFERROR(VLOOKUP(KMDM[[#This Row],[科目代码]],kl[#Data],2,FALSE),0)+KMDM[[#This Row],[年初数]]</f>
        <v>0</v>
      </c>
    </row>
    <row r="21" ht="15" spans="1:11">
      <c r="A21">
        <v>112304</v>
      </c>
      <c r="B21" t="s">
        <v>64</v>
      </c>
      <c r="C21" s="366" t="s">
        <v>68</v>
      </c>
      <c r="D21">
        <v>1</v>
      </c>
      <c r="E21" s="371"/>
      <c r="F21" s="371"/>
      <c r="I21" s="361">
        <v>10000</v>
      </c>
      <c r="J21" s="375" t="str">
        <f>KMDM[[#This Row],[科目代码]]&amp;"-"&amp;KMDM[[#This Row],[总账科目]]&amp;"-"&amp;KMDM[[#This Row],[明细科目]]</f>
        <v>112304-预付账款-东郡五方通话项目/欧</v>
      </c>
      <c r="K21" s="375">
        <f>IFERROR(VLOOKUP(KMDM[[#This Row],[科目代码]],kl[#Data],2,FALSE),0)+KMDM[[#This Row],[年初数]]</f>
        <v>0</v>
      </c>
    </row>
    <row r="22" ht="15" spans="1:11">
      <c r="A22">
        <v>112310</v>
      </c>
      <c r="B22" t="s">
        <v>64</v>
      </c>
      <c r="C22" s="366" t="s">
        <v>69</v>
      </c>
      <c r="D22">
        <v>1</v>
      </c>
      <c r="E22" s="371"/>
      <c r="F22" s="371"/>
      <c r="I22" s="361">
        <v>-621500</v>
      </c>
      <c r="J22" s="375" t="str">
        <f>KMDM[[#This Row],[科目代码]]&amp;"-"&amp;KMDM[[#This Row],[总账科目]]&amp;"-"&amp;KMDM[[#This Row],[明细科目]]</f>
        <v>112310-预付账款-电梯安装人员工资</v>
      </c>
      <c r="K22" s="375">
        <f>IFERROR(VLOOKUP(KMDM[[#This Row],[科目代码]],kl[#Data],2,FALSE),0)+KMDM[[#This Row],[年初数]]</f>
        <v>0</v>
      </c>
    </row>
    <row r="23" ht="15" spans="1:11">
      <c r="A23">
        <v>112311</v>
      </c>
      <c r="B23" t="s">
        <v>64</v>
      </c>
      <c r="C23" s="366" t="s">
        <v>70</v>
      </c>
      <c r="D23">
        <v>1</v>
      </c>
      <c r="E23" s="371"/>
      <c r="F23" s="371"/>
      <c r="I23" s="361">
        <v>295700</v>
      </c>
      <c r="J23" s="375" t="str">
        <f>KMDM[[#This Row],[科目代码]]&amp;"-"&amp;KMDM[[#This Row],[总账科目]]&amp;"-"&amp;KMDM[[#This Row],[明细科目]]</f>
        <v>112311-预付账款-电梯安装款/欧晓行</v>
      </c>
      <c r="K23" s="375">
        <f>IFERROR(VLOOKUP(KMDM[[#This Row],[科目代码]],kl[#Data],2,FALSE),0)+KMDM[[#This Row],[年初数]]</f>
        <v>0</v>
      </c>
    </row>
    <row r="24" ht="15" spans="1:11">
      <c r="A24">
        <v>112312</v>
      </c>
      <c r="B24" t="s">
        <v>64</v>
      </c>
      <c r="C24" s="366" t="s">
        <v>71</v>
      </c>
      <c r="D24">
        <v>1</v>
      </c>
      <c r="E24" s="371"/>
      <c r="F24" s="371"/>
      <c r="I24" s="361">
        <v>102600</v>
      </c>
      <c r="J24" s="375" t="str">
        <f>KMDM[[#This Row],[科目代码]]&amp;"-"&amp;KMDM[[#This Row],[总账科目]]&amp;"-"&amp;KMDM[[#This Row],[明细科目]]</f>
        <v>112312-预付账款-电梯安装款/魏恒兵</v>
      </c>
      <c r="K24" s="375">
        <f>IFERROR(VLOOKUP(KMDM[[#This Row],[科目代码]],kl[#Data],2,FALSE),0)+KMDM[[#This Row],[年初数]]</f>
        <v>0</v>
      </c>
    </row>
    <row r="25" ht="15" spans="1:11">
      <c r="A25">
        <v>112313</v>
      </c>
      <c r="B25" t="s">
        <v>64</v>
      </c>
      <c r="C25" s="366" t="s">
        <v>72</v>
      </c>
      <c r="D25">
        <v>1</v>
      </c>
      <c r="E25" s="371"/>
      <c r="F25" s="371"/>
      <c r="I25" s="361">
        <v>5600</v>
      </c>
      <c r="J25" s="375" t="str">
        <f>KMDM[[#This Row],[科目代码]]&amp;"-"&amp;KMDM[[#This Row],[总账科目]]&amp;"-"&amp;KMDM[[#This Row],[明细科目]]</f>
        <v>112313-预付账款-电梯安装款/傅长文</v>
      </c>
      <c r="K25" s="375">
        <f>IFERROR(VLOOKUP(KMDM[[#This Row],[科目代码]],kl[#Data],2,FALSE),0)+KMDM[[#This Row],[年初数]]</f>
        <v>0</v>
      </c>
    </row>
    <row r="26" ht="15" spans="1:11">
      <c r="A26">
        <v>112314</v>
      </c>
      <c r="B26" t="s">
        <v>64</v>
      </c>
      <c r="C26" s="366" t="s">
        <v>73</v>
      </c>
      <c r="D26">
        <v>1</v>
      </c>
      <c r="E26" s="371"/>
      <c r="F26" s="371"/>
      <c r="I26" s="361"/>
      <c r="J26" s="375" t="str">
        <f>KMDM[[#This Row],[科目代码]]&amp;"-"&amp;KMDM[[#This Row],[总账科目]]&amp;"-"&amp;KMDM[[#This Row],[明细科目]]</f>
        <v>112314-预付账款-浙江飞亚电梯</v>
      </c>
      <c r="K26" s="375">
        <f>IFERROR(VLOOKUP(KMDM[[#This Row],[科目代码]],kl[#Data],2,FALSE),0)+KMDM[[#This Row],[年初数]]</f>
        <v>0</v>
      </c>
    </row>
    <row r="27" ht="15" spans="1:11">
      <c r="A27">
        <v>112315</v>
      </c>
      <c r="B27" t="s">
        <v>64</v>
      </c>
      <c r="C27" s="366" t="s">
        <v>74</v>
      </c>
      <c r="D27">
        <v>1</v>
      </c>
      <c r="E27" s="371"/>
      <c r="F27" s="371"/>
      <c r="I27" s="361"/>
      <c r="J27" s="375" t="str">
        <f>KMDM[[#This Row],[科目代码]]&amp;"-"&amp;KMDM[[#This Row],[总账科目]]&amp;"-"&amp;KMDM[[#This Row],[明细科目]]</f>
        <v>112315-预付账款-无锡市蠡园东红电梯装潢厂</v>
      </c>
      <c r="K27" s="375">
        <f>IFERROR(VLOOKUP(KMDM[[#This Row],[科目代码]],kl[#Data],2,FALSE),0)+KMDM[[#This Row],[年初数]]</f>
        <v>0</v>
      </c>
    </row>
    <row r="28" ht="15" spans="1:11">
      <c r="A28">
        <v>112316</v>
      </c>
      <c r="B28" t="s">
        <v>64</v>
      </c>
      <c r="C28" s="366" t="s">
        <v>75</v>
      </c>
      <c r="D28">
        <v>1</v>
      </c>
      <c r="E28" s="371"/>
      <c r="F28" s="371"/>
      <c r="I28" s="361"/>
      <c r="J28" s="375" t="str">
        <f>KMDM[[#This Row],[科目代码]]&amp;"-"&amp;KMDM[[#This Row],[总账科目]]&amp;"-"&amp;KMDM[[#This Row],[明细科目]]</f>
        <v>112316-预付账款-电梯安装款/无锡蒋应维</v>
      </c>
      <c r="K28" s="375">
        <f>IFERROR(VLOOKUP(KMDM[[#This Row],[科目代码]],kl[#Data],2,FALSE),0)+KMDM[[#This Row],[年初数]]</f>
        <v>0</v>
      </c>
    </row>
    <row r="29" ht="15" spans="1:11">
      <c r="A29">
        <v>112317</v>
      </c>
      <c r="B29" t="s">
        <v>64</v>
      </c>
      <c r="C29" s="366" t="s">
        <v>76</v>
      </c>
      <c r="D29">
        <v>1</v>
      </c>
      <c r="E29" s="371"/>
      <c r="F29" s="371"/>
      <c r="I29" s="361"/>
      <c r="J29" s="375" t="str">
        <f>KMDM[[#This Row],[科目代码]]&amp;"-"&amp;KMDM[[#This Row],[总账科目]]&amp;"-"&amp;KMDM[[#This Row],[明细科目]]</f>
        <v>112317-预付账款-魏恒兵/惠龙港井道整改</v>
      </c>
      <c r="K29" s="375">
        <f>IFERROR(VLOOKUP(KMDM[[#This Row],[科目代码]],kl[#Data],2,FALSE),0)+KMDM[[#This Row],[年初数]]</f>
        <v>0</v>
      </c>
    </row>
    <row r="30" ht="15" spans="1:11">
      <c r="A30">
        <v>112318</v>
      </c>
      <c r="B30" t="s">
        <v>64</v>
      </c>
      <c r="C30" s="370" t="s">
        <v>77</v>
      </c>
      <c r="D30">
        <v>1</v>
      </c>
      <c r="E30" s="371"/>
      <c r="F30" s="371"/>
      <c r="J30" s="375" t="str">
        <f>KMDM[[#This Row],[科目代码]]&amp;"-"&amp;KMDM[[#This Row],[总账科目]]&amp;"-"&amp;KMDM[[#This Row],[明细科目]]</f>
        <v>112318-预付账款-庄玉立</v>
      </c>
      <c r="K30" s="375">
        <f>IFERROR(VLOOKUP(KMDM[[#This Row],[科目代码]],kl[#Data],2,FALSE),0)+KMDM[[#This Row],[年初数]]</f>
        <v>50</v>
      </c>
    </row>
    <row r="31" ht="15" spans="1:11">
      <c r="A31">
        <v>122101</v>
      </c>
      <c r="B31" t="s">
        <v>78</v>
      </c>
      <c r="C31" s="366" t="s">
        <v>79</v>
      </c>
      <c r="D31">
        <v>1</v>
      </c>
      <c r="E31" s="371"/>
      <c r="F31" s="371"/>
      <c r="I31" s="361">
        <v>335900</v>
      </c>
      <c r="J31" s="375" t="str">
        <f>KMDM[[#This Row],[科目代码]]&amp;"-"&amp;KMDM[[#This Row],[总账科目]]&amp;"-"&amp;KMDM[[#This Row],[明细科目]]</f>
        <v>122101-其他应收款-黎志军</v>
      </c>
      <c r="K31" s="375">
        <f>IFERROR(VLOOKUP(KMDM[[#This Row],[科目代码]],kl[#Data],2,FALSE),0)+KMDM[[#This Row],[年初数]]</f>
        <v>35900</v>
      </c>
    </row>
    <row r="32" ht="15" spans="1:11">
      <c r="A32">
        <v>122102</v>
      </c>
      <c r="B32" t="s">
        <v>78</v>
      </c>
      <c r="C32" s="366" t="s">
        <v>80</v>
      </c>
      <c r="D32">
        <v>1</v>
      </c>
      <c r="E32" s="371"/>
      <c r="F32" s="371"/>
      <c r="I32" s="361">
        <v>300000</v>
      </c>
      <c r="J32" s="375" t="str">
        <f>KMDM[[#This Row],[科目代码]]&amp;"-"&amp;KMDM[[#This Row],[总账科目]]&amp;"-"&amp;KMDM[[#This Row],[明细科目]]</f>
        <v>122102-其他应收款-贾征豪</v>
      </c>
      <c r="K32" s="375">
        <f>IFERROR(VLOOKUP(KMDM[[#This Row],[科目代码]],kl[#Data],2,FALSE),0)+KMDM[[#This Row],[年初数]]</f>
        <v>300000</v>
      </c>
    </row>
    <row r="33" ht="15" spans="1:11">
      <c r="A33">
        <v>122103</v>
      </c>
      <c r="B33" t="s">
        <v>78</v>
      </c>
      <c r="C33" s="366" t="s">
        <v>81</v>
      </c>
      <c r="D33">
        <v>1</v>
      </c>
      <c r="E33" s="371"/>
      <c r="F33" s="371"/>
      <c r="I33" s="361">
        <v>300000</v>
      </c>
      <c r="J33" s="375" t="str">
        <f>KMDM[[#This Row],[科目代码]]&amp;"-"&amp;KMDM[[#This Row],[总账科目]]&amp;"-"&amp;KMDM[[#This Row],[明细科目]]</f>
        <v>122103-其他应收款-尹仲林</v>
      </c>
      <c r="K33" s="375">
        <f>IFERROR(VLOOKUP(KMDM[[#This Row],[科目代码]],kl[#Data],2,FALSE),0)+KMDM[[#This Row],[年初数]]</f>
        <v>0</v>
      </c>
    </row>
    <row r="34" ht="15" spans="1:11">
      <c r="A34">
        <v>122104</v>
      </c>
      <c r="B34" t="s">
        <v>78</v>
      </c>
      <c r="C34" s="366" t="s">
        <v>82</v>
      </c>
      <c r="D34">
        <v>1</v>
      </c>
      <c r="E34" s="371"/>
      <c r="F34" s="371"/>
      <c r="I34" s="361">
        <v>10100</v>
      </c>
      <c r="J34" s="375" t="str">
        <f>KMDM[[#This Row],[科目代码]]&amp;"-"&amp;KMDM[[#This Row],[总账科目]]&amp;"-"&amp;KMDM[[#This Row],[明细科目]]</f>
        <v>122104-其他应收款-投标保证金及押金</v>
      </c>
      <c r="K34" s="375">
        <f>IFERROR(VLOOKUP(KMDM[[#This Row],[科目代码]],kl[#Data],2,FALSE),0)+KMDM[[#This Row],[年初数]]</f>
        <v>20000</v>
      </c>
    </row>
    <row r="35" ht="15" spans="1:11">
      <c r="A35">
        <v>122105</v>
      </c>
      <c r="B35" t="s">
        <v>78</v>
      </c>
      <c r="C35" s="366" t="s">
        <v>83</v>
      </c>
      <c r="D35">
        <v>1</v>
      </c>
      <c r="E35" s="371"/>
      <c r="F35" s="371"/>
      <c r="I35" s="361">
        <v>2300</v>
      </c>
      <c r="J35" s="375" t="str">
        <f>KMDM[[#This Row],[科目代码]]&amp;"-"&amp;KMDM[[#This Row],[总账科目]]&amp;"-"&amp;KMDM[[#This Row],[明细科目]]</f>
        <v>122105-其他应收款-其他过度户</v>
      </c>
      <c r="K35" s="375">
        <f>IFERROR(VLOOKUP(KMDM[[#This Row],[科目代码]],kl[#Data],2,FALSE),0)+KMDM[[#This Row],[年初数]]</f>
        <v>100</v>
      </c>
    </row>
    <row r="36" ht="15" spans="1:11">
      <c r="A36">
        <v>122106</v>
      </c>
      <c r="B36" t="s">
        <v>78</v>
      </c>
      <c r="C36" s="370" t="s">
        <v>84</v>
      </c>
      <c r="D36">
        <v>1</v>
      </c>
      <c r="E36" s="371"/>
      <c r="F36" s="371"/>
      <c r="J36" s="375" t="str">
        <f>KMDM[[#This Row],[科目代码]]&amp;"-"&amp;KMDM[[#This Row],[总账科目]]&amp;"-"&amp;KMDM[[#This Row],[明细科目]]</f>
        <v>122106-其他应收款-徐州电梯配件票</v>
      </c>
      <c r="K36" s="375">
        <f>IFERROR(VLOOKUP(KMDM[[#This Row],[科目代码]],kl[#Data],2,FALSE),0)+KMDM[[#This Row],[年初数]]</f>
        <v>60</v>
      </c>
    </row>
    <row r="37" ht="15" spans="1:11">
      <c r="A37">
        <v>122107</v>
      </c>
      <c r="B37" t="s">
        <v>78</v>
      </c>
      <c r="C37" s="370" t="s">
        <v>85</v>
      </c>
      <c r="D37">
        <v>1</v>
      </c>
      <c r="E37" s="371"/>
      <c r="F37" s="371"/>
      <c r="J37" s="375" t="str">
        <f>KMDM[[#This Row],[科目代码]]&amp;"-"&amp;KMDM[[#This Row],[总账科目]]&amp;"-"&amp;KMDM[[#This Row],[明细科目]]</f>
        <v>122107-其他应收款-港务局电梯维保/押金</v>
      </c>
      <c r="K37" s="375">
        <f>IFERROR(VLOOKUP(KMDM[[#This Row],[科目代码]],kl[#Data],2,FALSE),0)+KMDM[[#This Row],[年初数]]</f>
        <v>10000</v>
      </c>
    </row>
    <row r="38" ht="15" spans="1:11">
      <c r="A38">
        <v>122108</v>
      </c>
      <c r="B38" t="s">
        <v>78</v>
      </c>
      <c r="C38" s="370" t="s">
        <v>86</v>
      </c>
      <c r="D38">
        <v>1</v>
      </c>
      <c r="E38" s="371"/>
      <c r="F38" s="371"/>
      <c r="J38" s="375" t="str">
        <f>KMDM[[#This Row],[科目代码]]&amp;"-"&amp;KMDM[[#This Row],[总账科目]]&amp;"-"&amp;KMDM[[#This Row],[明细科目]]</f>
        <v>122108-其他应收款-煤汽瓶/押金</v>
      </c>
      <c r="K38" s="375">
        <f>IFERROR(VLOOKUP(KMDM[[#This Row],[科目代码]],kl[#Data],2,FALSE),0)+KMDM[[#This Row],[年初数]]</f>
        <v>100</v>
      </c>
    </row>
    <row r="39" ht="15" spans="1:11">
      <c r="A39">
        <v>122109</v>
      </c>
      <c r="B39" t="s">
        <v>78</v>
      </c>
      <c r="C39" s="370" t="s">
        <v>12</v>
      </c>
      <c r="D39">
        <v>1</v>
      </c>
      <c r="E39" s="371"/>
      <c r="F39" s="371"/>
      <c r="J39" s="375" t="str">
        <f>KMDM[[#This Row],[科目代码]]&amp;"-"&amp;KMDM[[#This Row],[总账科目]]&amp;"-"&amp;KMDM[[#This Row],[明细科目]]</f>
        <v>122109-其他应收款-华德明</v>
      </c>
      <c r="K39" s="375">
        <f>IFERROR(VLOOKUP(KMDM[[#This Row],[科目代码]],kl[#Data],2,FALSE),0)+KMDM[[#This Row],[年初数]]</f>
        <v>625819.56</v>
      </c>
    </row>
    <row r="40" ht="15" spans="1:11">
      <c r="A40" s="372">
        <v>140201</v>
      </c>
      <c r="B40" s="373" t="s">
        <v>87</v>
      </c>
      <c r="C40" s="370" t="s">
        <v>88</v>
      </c>
      <c r="D40">
        <v>1</v>
      </c>
      <c r="E40" s="371"/>
      <c r="F40" s="371"/>
      <c r="J40" s="375" t="str">
        <f>KMDM[[#This Row],[科目代码]]&amp;"-"&amp;KMDM[[#This Row],[总账科目]]&amp;"-"&amp;KMDM[[#This Row],[明细科目]]</f>
        <v>140201-在途物资-西继迅达电梯配件</v>
      </c>
      <c r="K40" s="375">
        <f>IFERROR(VLOOKUP(KMDM[[#This Row],[科目代码]],kl[#Data],2,FALSE),0)+KMDM[[#This Row],[年初数]]</f>
        <v>92</v>
      </c>
    </row>
    <row r="41" ht="15" spans="1:11">
      <c r="A41" s="372">
        <v>140202</v>
      </c>
      <c r="B41" s="373" t="s">
        <v>87</v>
      </c>
      <c r="C41" s="370" t="s">
        <v>84</v>
      </c>
      <c r="D41">
        <v>1</v>
      </c>
      <c r="E41" s="371"/>
      <c r="F41" s="371"/>
      <c r="J41" s="375" t="str">
        <f>KMDM[[#This Row],[科目代码]]&amp;"-"&amp;KMDM[[#This Row],[总账科目]]&amp;"-"&amp;KMDM[[#This Row],[明细科目]]</f>
        <v>140202-在途物资-徐州电梯配件票</v>
      </c>
      <c r="K41" s="375">
        <f>IFERROR(VLOOKUP(KMDM[[#This Row],[科目代码]],kl[#Data],2,FALSE),0)+KMDM[[#This Row],[年初数]]</f>
        <v>-1050</v>
      </c>
    </row>
    <row r="42" ht="15" spans="1:11">
      <c r="A42">
        <v>140501</v>
      </c>
      <c r="B42" t="s">
        <v>89</v>
      </c>
      <c r="C42" s="366" t="s">
        <v>90</v>
      </c>
      <c r="D42">
        <v>1</v>
      </c>
      <c r="E42" s="371"/>
      <c r="F42" s="371"/>
      <c r="I42" s="361">
        <v>205158.97</v>
      </c>
      <c r="J42" s="375" t="str">
        <f>KMDM[[#This Row],[科目代码]]&amp;"-"&amp;KMDM[[#This Row],[总账科目]]&amp;"-"&amp;KMDM[[#This Row],[明细科目]]</f>
        <v>140501-库存商品-仓库</v>
      </c>
      <c r="K42" s="375">
        <f>IFERROR(VLOOKUP(KMDM[[#This Row],[科目代码]],kl[#Data],2,FALSE),0)+KMDM[[#This Row],[年初数]]</f>
        <v>83539.51</v>
      </c>
    </row>
    <row r="43" ht="15" spans="1:11">
      <c r="A43">
        <v>160101</v>
      </c>
      <c r="B43" t="s">
        <v>91</v>
      </c>
      <c r="C43" s="366" t="s">
        <v>92</v>
      </c>
      <c r="D43">
        <v>1</v>
      </c>
      <c r="E43" s="371"/>
      <c r="F43" s="371"/>
      <c r="I43" s="361">
        <v>3200</v>
      </c>
      <c r="J43" s="375" t="str">
        <f>KMDM[[#This Row],[科目代码]]&amp;"-"&amp;KMDM[[#This Row],[总账科目]]&amp;"-"&amp;KMDM[[#This Row],[明细科目]]</f>
        <v>160101-固定资产-沙发</v>
      </c>
      <c r="K43" s="375">
        <f>IFERROR(VLOOKUP(KMDM[[#This Row],[科目代码]],kl[#Data],2,FALSE),0)+KMDM[[#This Row],[年初数]]</f>
        <v>3111.11</v>
      </c>
    </row>
    <row r="44" ht="15" spans="1:11">
      <c r="A44">
        <v>160102</v>
      </c>
      <c r="B44" t="s">
        <v>91</v>
      </c>
      <c r="C44" s="366" t="s">
        <v>93</v>
      </c>
      <c r="D44">
        <v>1</v>
      </c>
      <c r="E44" s="371"/>
      <c r="F44" s="371"/>
      <c r="I44" s="361">
        <v>4400</v>
      </c>
      <c r="J44" s="375" t="str">
        <f>KMDM[[#This Row],[科目代码]]&amp;"-"&amp;KMDM[[#This Row],[总账科目]]&amp;"-"&amp;KMDM[[#This Row],[明细科目]]</f>
        <v>160102-固定资产-空调</v>
      </c>
      <c r="K44" s="375">
        <f>IFERROR(VLOOKUP(KMDM[[#This Row],[科目代码]],kl[#Data],2,FALSE),0)+KMDM[[#This Row],[年初数]]</f>
        <v>4277.78</v>
      </c>
    </row>
    <row r="45" ht="15" spans="1:11">
      <c r="A45">
        <v>160103</v>
      </c>
      <c r="B45" t="s">
        <v>91</v>
      </c>
      <c r="C45" s="366" t="s">
        <v>94</v>
      </c>
      <c r="D45">
        <v>1</v>
      </c>
      <c r="E45" s="371"/>
      <c r="F45" s="371"/>
      <c r="I45" s="361">
        <v>3849</v>
      </c>
      <c r="J45" s="375" t="str">
        <f>KMDM[[#This Row],[科目代码]]&amp;"-"&amp;KMDM[[#This Row],[总账科目]]&amp;"-"&amp;KMDM[[#This Row],[明细科目]]</f>
        <v>160103-固定资产-电脑</v>
      </c>
      <c r="K45" s="375">
        <f>IFERROR(VLOOKUP(KMDM[[#This Row],[科目代码]],kl[#Data],2,FALSE),0)+KMDM[[#This Row],[年初数]]</f>
        <v>3742.08</v>
      </c>
    </row>
    <row r="46" ht="15" spans="1:11">
      <c r="A46">
        <v>160104</v>
      </c>
      <c r="B46" t="s">
        <v>91</v>
      </c>
      <c r="C46" s="366" t="s">
        <v>95</v>
      </c>
      <c r="D46">
        <v>1</v>
      </c>
      <c r="E46" s="371"/>
      <c r="F46" s="371"/>
      <c r="I46" s="361">
        <v>3680</v>
      </c>
      <c r="J46" s="375" t="str">
        <f>KMDM[[#This Row],[科目代码]]&amp;"-"&amp;KMDM[[#This Row],[总账科目]]&amp;"-"&amp;KMDM[[#This Row],[明细科目]]</f>
        <v>160104-固定资产-打印机</v>
      </c>
      <c r="K46" s="375">
        <f>IFERROR(VLOOKUP(KMDM[[#This Row],[科目代码]],kl[#Data],2,FALSE),0)+KMDM[[#This Row],[年初数]]</f>
        <v>3621.73</v>
      </c>
    </row>
    <row r="47" ht="15" spans="1:11">
      <c r="A47">
        <v>160105</v>
      </c>
      <c r="B47" t="s">
        <v>91</v>
      </c>
      <c r="C47" s="366" t="s">
        <v>96</v>
      </c>
      <c r="D47">
        <v>1</v>
      </c>
      <c r="E47" s="371"/>
      <c r="F47" s="371"/>
      <c r="I47" s="361">
        <v>2498</v>
      </c>
      <c r="J47" s="375" t="str">
        <f>KMDM[[#This Row],[科目代码]]&amp;"-"&amp;KMDM[[#This Row],[总账科目]]&amp;"-"&amp;KMDM[[#This Row],[明细科目]]</f>
        <v>160105-固定资产-手机</v>
      </c>
      <c r="K47" s="375">
        <f>IFERROR(VLOOKUP(KMDM[[#This Row],[科目代码]],kl[#Data],2,FALSE),0)+KMDM[[#This Row],[年初数]]</f>
        <v>2428.61</v>
      </c>
    </row>
    <row r="48" ht="15" spans="1:11">
      <c r="A48">
        <v>160106</v>
      </c>
      <c r="B48" t="s">
        <v>91</v>
      </c>
      <c r="C48" s="366" t="s">
        <v>97</v>
      </c>
      <c r="D48">
        <v>1</v>
      </c>
      <c r="E48" s="371"/>
      <c r="F48" s="371"/>
      <c r="I48" s="361">
        <v>4399</v>
      </c>
      <c r="J48" s="375" t="str">
        <f>KMDM[[#This Row],[科目代码]]&amp;"-"&amp;KMDM[[#This Row],[总账科目]]&amp;"-"&amp;KMDM[[#This Row],[明细科目]]</f>
        <v>160106-固定资产-手提电脑</v>
      </c>
      <c r="K48" s="375">
        <f>IFERROR(VLOOKUP(KMDM[[#This Row],[科目代码]],kl[#Data],2,FALSE),0)+KMDM[[#This Row],[年初数]]</f>
        <v>4325.68</v>
      </c>
    </row>
    <row r="49" ht="15" spans="1:11">
      <c r="A49">
        <v>160107</v>
      </c>
      <c r="B49" t="s">
        <v>91</v>
      </c>
      <c r="C49" s="366" t="s">
        <v>98</v>
      </c>
      <c r="D49">
        <v>1</v>
      </c>
      <c r="E49" s="371"/>
      <c r="F49" s="371"/>
      <c r="I49" s="361"/>
      <c r="J49" s="375" t="str">
        <f>KMDM[[#This Row],[科目代码]]&amp;"-"&amp;KMDM[[#This Row],[总账科目]]&amp;"-"&amp;KMDM[[#This Row],[明细科目]]</f>
        <v>160107-固定资产-相机</v>
      </c>
      <c r="K49" s="375">
        <f>IFERROR(VLOOKUP(KMDM[[#This Row],[科目代码]],kl[#Data],2,FALSE),0)+KMDM[[#This Row],[年初数]]</f>
        <v>2737</v>
      </c>
    </row>
    <row r="50" ht="15" spans="1:11">
      <c r="A50">
        <v>160201</v>
      </c>
      <c r="B50" t="s">
        <v>99</v>
      </c>
      <c r="C50" s="366" t="s">
        <v>92</v>
      </c>
      <c r="D50">
        <v>-1</v>
      </c>
      <c r="E50" s="371"/>
      <c r="F50" s="371"/>
      <c r="I50" s="361">
        <v>1333.35</v>
      </c>
      <c r="J50" s="375" t="str">
        <f>KMDM[[#This Row],[科目代码]]&amp;"-"&amp;KMDM[[#This Row],[总账科目]]&amp;"-"&amp;KMDM[[#This Row],[明细科目]]</f>
        <v>160201-累计折旧-沙发</v>
      </c>
      <c r="K50" s="375">
        <f>IFERROR(VLOOKUP(KMDM[[#This Row],[科目代码]],kl[#Data],2,FALSE),0)+KMDM[[#This Row],[年初数]]</f>
        <v>532.46</v>
      </c>
    </row>
    <row r="51" ht="15" spans="1:11">
      <c r="A51">
        <v>160202</v>
      </c>
      <c r="B51" t="s">
        <v>99</v>
      </c>
      <c r="C51" s="366" t="s">
        <v>93</v>
      </c>
      <c r="D51">
        <v>-1</v>
      </c>
      <c r="E51" s="371"/>
      <c r="F51" s="371"/>
      <c r="I51" s="361">
        <v>1833.22</v>
      </c>
      <c r="J51" s="375" t="str">
        <f>KMDM[[#This Row],[科目代码]]&amp;"-"&amp;KMDM[[#This Row],[总账科目]]&amp;"-"&amp;KMDM[[#This Row],[明细科目]]</f>
        <v>160202-累计折旧-空调</v>
      </c>
      <c r="K51" s="375">
        <f>IFERROR(VLOOKUP(KMDM[[#This Row],[科目代码]],kl[#Data],2,FALSE),0)+KMDM[[#This Row],[年初数]]</f>
        <v>735</v>
      </c>
    </row>
    <row r="52" ht="15" spans="1:11">
      <c r="A52">
        <v>160203</v>
      </c>
      <c r="B52" t="s">
        <v>99</v>
      </c>
      <c r="C52" s="366" t="s">
        <v>94</v>
      </c>
      <c r="D52">
        <v>-1</v>
      </c>
      <c r="E52" s="371"/>
      <c r="F52" s="371"/>
      <c r="I52" s="361">
        <v>1603.88</v>
      </c>
      <c r="J52" s="375" t="str">
        <f>KMDM[[#This Row],[科目代码]]&amp;"-"&amp;KMDM[[#This Row],[总账科目]]&amp;"-"&amp;KMDM[[#This Row],[明细科目]]</f>
        <v>160203-累计折旧-电脑</v>
      </c>
      <c r="K52" s="375">
        <f>IFERROR(VLOOKUP(KMDM[[#This Row],[科目代码]],kl[#Data],2,FALSE),0)+KMDM[[#This Row],[年初数]]</f>
        <v>640.96</v>
      </c>
    </row>
    <row r="53" ht="15" spans="1:11">
      <c r="A53">
        <v>160204</v>
      </c>
      <c r="B53" t="s">
        <v>99</v>
      </c>
      <c r="C53" s="366" t="s">
        <v>95</v>
      </c>
      <c r="D53">
        <v>-1</v>
      </c>
      <c r="E53" s="371"/>
      <c r="F53" s="371"/>
      <c r="I53" s="361">
        <v>466.16</v>
      </c>
      <c r="J53" s="375" t="str">
        <f>KMDM[[#This Row],[科目代码]]&amp;"-"&amp;KMDM[[#This Row],[总账科目]]&amp;"-"&amp;KMDM[[#This Row],[明细科目]]</f>
        <v>160204-累计折旧-打印机</v>
      </c>
      <c r="K53" s="375">
        <f>IFERROR(VLOOKUP(KMDM[[#This Row],[科目代码]],kl[#Data],2,FALSE),0)+KMDM[[#This Row],[年初数]]</f>
        <v>-56.11</v>
      </c>
    </row>
    <row r="54" ht="15" spans="1:11">
      <c r="A54">
        <v>160205</v>
      </c>
      <c r="B54" t="s">
        <v>99</v>
      </c>
      <c r="C54" s="366" t="s">
        <v>96</v>
      </c>
      <c r="D54">
        <v>-1</v>
      </c>
      <c r="E54" s="371"/>
      <c r="F54" s="371"/>
      <c r="I54" s="361">
        <v>346.95</v>
      </c>
      <c r="J54" s="375" t="str">
        <f>KMDM[[#This Row],[科目代码]]&amp;"-"&amp;KMDM[[#This Row],[总账科目]]&amp;"-"&amp;KMDM[[#This Row],[明细科目]]</f>
        <v>160205-累计折旧-手机</v>
      </c>
      <c r="K54" s="375">
        <f>IFERROR(VLOOKUP(KMDM[[#This Row],[科目代码]],kl[#Data],2,FALSE),0)+KMDM[[#This Row],[年初数]]</f>
        <v>-265.44</v>
      </c>
    </row>
    <row r="55" ht="15" spans="1:11">
      <c r="A55">
        <v>160206</v>
      </c>
      <c r="B55" t="s">
        <v>99</v>
      </c>
      <c r="C55" s="366" t="s">
        <v>97</v>
      </c>
      <c r="D55">
        <v>-1</v>
      </c>
      <c r="E55" s="371"/>
      <c r="F55" s="371"/>
      <c r="I55" s="361">
        <v>0</v>
      </c>
      <c r="J55" s="375" t="str">
        <f>KMDM[[#This Row],[科目代码]]&amp;"-"&amp;KMDM[[#This Row],[总账科目]]&amp;"-"&amp;KMDM[[#This Row],[明细科目]]</f>
        <v>160206-累计折旧-手提电脑</v>
      </c>
      <c r="K55" s="375">
        <f>IFERROR(VLOOKUP(KMDM[[#This Row],[科目代码]],kl[#Data],2,FALSE),0)+KMDM[[#This Row],[年初数]]</f>
        <v>-657.32</v>
      </c>
    </row>
    <row r="56" ht="15" spans="1:11">
      <c r="A56">
        <v>160207</v>
      </c>
      <c r="B56" t="s">
        <v>99</v>
      </c>
      <c r="C56" s="366" t="s">
        <v>98</v>
      </c>
      <c r="D56">
        <v>-1</v>
      </c>
      <c r="E56" s="371"/>
      <c r="F56" s="371"/>
      <c r="I56" s="361"/>
      <c r="J56" s="375" t="str">
        <f>KMDM[[#This Row],[科目代码]]&amp;"-"&amp;KMDM[[#This Row],[总账科目]]&amp;"-"&amp;KMDM[[#This Row],[明细科目]]</f>
        <v>160207-累计折旧-相机</v>
      </c>
      <c r="K56" s="375">
        <f>IFERROR(VLOOKUP(KMDM[[#This Row],[科目代码]],kl[#Data],2,FALSE),0)+KMDM[[#This Row],[年初数]]</f>
        <v>-230</v>
      </c>
    </row>
    <row r="57" ht="15" spans="1:11">
      <c r="A57">
        <v>177701</v>
      </c>
      <c r="B57" t="s">
        <v>100</v>
      </c>
      <c r="C57" s="366" t="s">
        <v>101</v>
      </c>
      <c r="D57">
        <v>1</v>
      </c>
      <c r="E57" s="371"/>
      <c r="F57" s="371"/>
      <c r="I57" s="361">
        <v>451.46</v>
      </c>
      <c r="J57" s="375" t="str">
        <f>KMDM[[#This Row],[科目代码]]&amp;"-"&amp;KMDM[[#This Row],[总账科目]]&amp;"-"&amp;KMDM[[#This Row],[明细科目]]</f>
        <v>177701-待摊费用-其他</v>
      </c>
      <c r="K57" s="375">
        <f>IFERROR(VLOOKUP(KMDM[[#This Row],[科目代码]],kl[#Data],2,FALSE),0)+KMDM[[#This Row],[年初数]]</f>
        <v>5.11590769747272e-13</v>
      </c>
    </row>
    <row r="58" ht="15" spans="1:11">
      <c r="A58">
        <v>220201</v>
      </c>
      <c r="B58" t="s">
        <v>102</v>
      </c>
      <c r="C58" s="366" t="s">
        <v>73</v>
      </c>
      <c r="D58">
        <v>-1</v>
      </c>
      <c r="E58" s="371"/>
      <c r="F58" s="371"/>
      <c r="I58" s="361"/>
      <c r="J58" s="375" t="str">
        <f>KMDM[[#This Row],[科目代码]]&amp;"-"&amp;KMDM[[#This Row],[总账科目]]&amp;"-"&amp;KMDM[[#This Row],[明细科目]]</f>
        <v>220201-应付账款-浙江飞亚电梯</v>
      </c>
      <c r="K58" s="375">
        <f>IFERROR(VLOOKUP(KMDM[[#This Row],[科目代码]],kl[#Data],2,FALSE),0)+KMDM[[#This Row],[年初数]]</f>
        <v>0</v>
      </c>
    </row>
    <row r="59" ht="15" spans="1:11">
      <c r="A59">
        <v>220202</v>
      </c>
      <c r="B59" t="s">
        <v>102</v>
      </c>
      <c r="C59" s="366" t="s">
        <v>103</v>
      </c>
      <c r="D59">
        <v>-1</v>
      </c>
      <c r="E59" s="371"/>
      <c r="F59" s="371"/>
      <c r="I59" s="361"/>
      <c r="J59" s="375" t="str">
        <f>KMDM[[#This Row],[科目代码]]&amp;"-"&amp;KMDM[[#This Row],[总账科目]]&amp;"-"&amp;KMDM[[#This Row],[明细科目]]</f>
        <v>220202-应付账款-上海永大电梯</v>
      </c>
      <c r="K59" s="375">
        <f>IFERROR(VLOOKUP(KMDM[[#This Row],[科目代码]],kl[#Data],2,FALSE),0)+KMDM[[#This Row],[年初数]]</f>
        <v>0</v>
      </c>
    </row>
    <row r="60" ht="15" spans="1:11">
      <c r="A60">
        <v>220203</v>
      </c>
      <c r="B60" t="s">
        <v>102</v>
      </c>
      <c r="C60" s="366" t="s">
        <v>104</v>
      </c>
      <c r="D60">
        <v>-1</v>
      </c>
      <c r="E60" s="371"/>
      <c r="F60" s="371"/>
      <c r="I60" s="361"/>
      <c r="J60" s="375" t="str">
        <f>KMDM[[#This Row],[科目代码]]&amp;"-"&amp;KMDM[[#This Row],[总账科目]]&amp;"-"&amp;KMDM[[#This Row],[明细科目]]</f>
        <v>220203-应付账款-无锡蠡园东红电梯装潢厂</v>
      </c>
      <c r="K60" s="375">
        <f>IFERROR(VLOOKUP(KMDM[[#This Row],[科目代码]],kl[#Data],2,FALSE),0)+KMDM[[#This Row],[年初数]]</f>
        <v>0</v>
      </c>
    </row>
    <row r="61" ht="15" spans="1:11">
      <c r="A61">
        <v>220204</v>
      </c>
      <c r="B61" t="s">
        <v>102</v>
      </c>
      <c r="C61" s="366" t="s">
        <v>105</v>
      </c>
      <c r="D61">
        <v>-1</v>
      </c>
      <c r="E61" s="371"/>
      <c r="F61" s="371"/>
      <c r="I61" s="361"/>
      <c r="J61" s="375" t="str">
        <f>KMDM[[#This Row],[科目代码]]&amp;"-"&amp;KMDM[[#This Row],[总账科目]]&amp;"-"&amp;KMDM[[#This Row],[明细科目]]</f>
        <v>220204-应付账款-西继迅达电梯公司/惠龙港</v>
      </c>
      <c r="K61" s="375">
        <f>IFERROR(VLOOKUP(KMDM[[#This Row],[科目代码]],kl[#Data],2,FALSE),0)+KMDM[[#This Row],[年初数]]</f>
        <v>0</v>
      </c>
    </row>
    <row r="62" ht="15" spans="1:11">
      <c r="A62">
        <v>220205</v>
      </c>
      <c r="B62" t="s">
        <v>102</v>
      </c>
      <c r="C62" s="366" t="s">
        <v>106</v>
      </c>
      <c r="D62">
        <v>-1</v>
      </c>
      <c r="E62" s="371"/>
      <c r="F62" s="371"/>
      <c r="I62" s="361"/>
      <c r="J62" s="375" t="str">
        <f>KMDM[[#This Row],[科目代码]]&amp;"-"&amp;KMDM[[#This Row],[总账科目]]&amp;"-"&amp;KMDM[[#This Row],[明细科目]]</f>
        <v>220205-应付账款-西继迅达电梯公司/华实</v>
      </c>
      <c r="K62" s="375">
        <f>IFERROR(VLOOKUP(KMDM[[#This Row],[科目代码]],kl[#Data],2,FALSE),0)+KMDM[[#This Row],[年初数]]</f>
        <v>0</v>
      </c>
    </row>
    <row r="63" ht="15" spans="1:11">
      <c r="A63">
        <v>220301</v>
      </c>
      <c r="B63" t="s">
        <v>107</v>
      </c>
      <c r="C63" s="366" t="s">
        <v>59</v>
      </c>
      <c r="D63">
        <v>-1</v>
      </c>
      <c r="E63" s="371"/>
      <c r="F63" s="371"/>
      <c r="I63" s="361">
        <v>104400</v>
      </c>
      <c r="J63" s="375" t="str">
        <f>KMDM[[#This Row],[科目代码]]&amp;"-"&amp;KMDM[[#This Row],[总账科目]]&amp;"-"&amp;KMDM[[#This Row],[明细科目]]</f>
        <v>220301-预收账款-惠龙长江港务</v>
      </c>
      <c r="K63" s="375">
        <f>IFERROR(VLOOKUP(KMDM[[#This Row],[科目代码]],kl[#Data],2,FALSE),0)+KMDM[[#This Row],[年初数]]</f>
        <v>208800</v>
      </c>
    </row>
    <row r="64" ht="15" spans="1:11">
      <c r="A64">
        <v>220302</v>
      </c>
      <c r="B64" t="s">
        <v>107</v>
      </c>
      <c r="C64" s="366" t="s">
        <v>108</v>
      </c>
      <c r="D64">
        <v>-1</v>
      </c>
      <c r="E64" s="371"/>
      <c r="F64" s="371"/>
      <c r="I64" s="361">
        <v>340600</v>
      </c>
      <c r="J64" s="375" t="str">
        <f>KMDM[[#This Row],[科目代码]]&amp;"-"&amp;KMDM[[#This Row],[总账科目]]&amp;"-"&amp;KMDM[[#This Row],[明细科目]]</f>
        <v>220302-预收账款-华实市政</v>
      </c>
      <c r="K64" s="375">
        <f>IFERROR(VLOOKUP(KMDM[[#This Row],[科目代码]],kl[#Data],2,FALSE),0)+KMDM[[#This Row],[年初数]]</f>
        <v>311200</v>
      </c>
    </row>
    <row r="65" ht="15" spans="1:11">
      <c r="A65">
        <v>220303</v>
      </c>
      <c r="B65" t="s">
        <v>107</v>
      </c>
      <c r="C65" s="366" t="s">
        <v>109</v>
      </c>
      <c r="D65">
        <v>-1</v>
      </c>
      <c r="E65" s="371"/>
      <c r="F65" s="371"/>
      <c r="I65" s="361">
        <v>95000</v>
      </c>
      <c r="J65" s="375" t="str">
        <f>KMDM[[#This Row],[科目代码]]&amp;"-"&amp;KMDM[[#This Row],[总账科目]]&amp;"-"&amp;KMDM[[#This Row],[明细科目]]</f>
        <v>220303-预收账款-电梯安装/西德/华港7台货梯</v>
      </c>
      <c r="K65" s="375">
        <f>IFERROR(VLOOKUP(KMDM[[#This Row],[科目代码]],kl[#Data],2,FALSE),0)+KMDM[[#This Row],[年初数]]</f>
        <v>190000</v>
      </c>
    </row>
    <row r="66" ht="15" spans="1:11">
      <c r="A66">
        <v>220304</v>
      </c>
      <c r="B66" t="s">
        <v>107</v>
      </c>
      <c r="C66" s="366" t="s">
        <v>110</v>
      </c>
      <c r="D66">
        <v>-1</v>
      </c>
      <c r="E66" s="371"/>
      <c r="F66" s="371"/>
      <c r="I66" s="361">
        <v>16000</v>
      </c>
      <c r="J66" s="375" t="str">
        <f>KMDM[[#This Row],[科目代码]]&amp;"-"&amp;KMDM[[#This Row],[总账科目]]&amp;"-"&amp;KMDM[[#This Row],[明细科目]]</f>
        <v>220304-预收账款-江苏菱王安装款</v>
      </c>
      <c r="K66" s="375">
        <f>IFERROR(VLOOKUP(KMDM[[#This Row],[科目代码]],kl[#Data],2,FALSE),0)+KMDM[[#This Row],[年初数]]</f>
        <v>16000</v>
      </c>
    </row>
    <row r="67" ht="15" spans="1:11">
      <c r="A67">
        <v>220305</v>
      </c>
      <c r="B67" t="s">
        <v>107</v>
      </c>
      <c r="C67" s="366" t="s">
        <v>111</v>
      </c>
      <c r="D67">
        <v>-1</v>
      </c>
      <c r="E67" s="371"/>
      <c r="F67" s="371"/>
      <c r="I67" s="361">
        <v>-10000</v>
      </c>
      <c r="J67" s="375" t="str">
        <f>KMDM[[#This Row],[科目代码]]&amp;"-"&amp;KMDM[[#This Row],[总账科目]]&amp;"-"&amp;KMDM[[#This Row],[明细科目]]</f>
        <v>220305-预收账款-南京嘉运正机电设备有限公司</v>
      </c>
      <c r="K67" s="375">
        <f>IFERROR(VLOOKUP(KMDM[[#This Row],[科目代码]],kl[#Data],2,FALSE),0)+KMDM[[#This Row],[年初数]]</f>
        <v>-20000</v>
      </c>
    </row>
    <row r="68" ht="15" spans="1:11">
      <c r="A68">
        <v>220306</v>
      </c>
      <c r="B68" t="s">
        <v>107</v>
      </c>
      <c r="C68" s="366" t="s">
        <v>57</v>
      </c>
      <c r="D68">
        <v>-1</v>
      </c>
      <c r="E68" s="371"/>
      <c r="F68" s="371"/>
      <c r="I68" s="361">
        <v>70000</v>
      </c>
      <c r="J68" s="375" t="str">
        <f>KMDM[[#This Row],[科目代码]]&amp;"-"&amp;KMDM[[#This Row],[总账科目]]&amp;"-"&amp;KMDM[[#This Row],[明细科目]]</f>
        <v>220306-预收账款-无锡宝骏科技有限公司</v>
      </c>
      <c r="K68" s="375">
        <f>IFERROR(VLOOKUP(KMDM[[#This Row],[科目代码]],kl[#Data],2,FALSE),0)+KMDM[[#This Row],[年初数]]</f>
        <v>70000</v>
      </c>
    </row>
    <row r="69" ht="15" spans="1:11">
      <c r="A69">
        <v>220307</v>
      </c>
      <c r="B69" t="s">
        <v>107</v>
      </c>
      <c r="C69" s="366" t="s">
        <v>112</v>
      </c>
      <c r="D69">
        <v>-1</v>
      </c>
      <c r="E69" s="371"/>
      <c r="F69" s="371"/>
      <c r="I69" s="361"/>
      <c r="J69" s="375" t="str">
        <f>KMDM[[#This Row],[科目代码]]&amp;"-"&amp;KMDM[[#This Row],[总账科目]]&amp;"-"&amp;KMDM[[#This Row],[明细科目]]</f>
        <v>220307-预收账款-丹徒科创建设有限公司</v>
      </c>
      <c r="K69" s="375">
        <f>IFERROR(VLOOKUP(KMDM[[#This Row],[科目代码]],kl[#Data],2,FALSE),0)+KMDM[[#This Row],[年初数]]</f>
        <v>-110000</v>
      </c>
    </row>
    <row r="70" ht="15" spans="1:11">
      <c r="A70">
        <v>221101</v>
      </c>
      <c r="B70" t="s">
        <v>113</v>
      </c>
      <c r="C70" s="366" t="s">
        <v>114</v>
      </c>
      <c r="D70">
        <v>-1</v>
      </c>
      <c r="E70" s="371"/>
      <c r="F70" s="371"/>
      <c r="I70" s="361">
        <v>10600</v>
      </c>
      <c r="J70" s="375" t="str">
        <f>KMDM[[#This Row],[科目代码]]&amp;"-"&amp;KMDM[[#This Row],[总账科目]]&amp;"-"&amp;KMDM[[#This Row],[明细科目]]</f>
        <v>221101-应付职工薪酬-职工工资</v>
      </c>
      <c r="K70" s="375">
        <f>IFERROR(VLOOKUP(KMDM[[#This Row],[科目代码]],kl[#Data],2,FALSE),0)+KMDM[[#This Row],[年初数]]</f>
        <v>780</v>
      </c>
    </row>
    <row r="71" ht="15" spans="1:11">
      <c r="A71">
        <v>221102</v>
      </c>
      <c r="B71" t="s">
        <v>113</v>
      </c>
      <c r="C71" s="366" t="s">
        <v>115</v>
      </c>
      <c r="D71">
        <v>-1</v>
      </c>
      <c r="E71" s="371"/>
      <c r="F71" s="371"/>
      <c r="I71" s="361">
        <v>370</v>
      </c>
      <c r="J71" s="375" t="str">
        <f>KMDM[[#This Row],[科目代码]]&amp;"-"&amp;KMDM[[#This Row],[总账科目]]&amp;"-"&amp;KMDM[[#This Row],[明细科目]]</f>
        <v>221102-应付职工薪酬-交通补贴</v>
      </c>
      <c r="K71" s="375">
        <f>IFERROR(VLOOKUP(KMDM[[#This Row],[科目代码]],kl[#Data],2,FALSE),0)+KMDM[[#This Row],[年初数]]</f>
        <v>740</v>
      </c>
    </row>
    <row r="72" ht="15" spans="1:11">
      <c r="A72">
        <v>221103</v>
      </c>
      <c r="B72" t="s">
        <v>113</v>
      </c>
      <c r="C72" s="366" t="s">
        <v>116</v>
      </c>
      <c r="D72">
        <v>-1</v>
      </c>
      <c r="E72" s="371"/>
      <c r="F72" s="371"/>
      <c r="I72" s="361">
        <v>59787.45</v>
      </c>
      <c r="J72" s="375" t="str">
        <f>KMDM[[#This Row],[科目代码]]&amp;"-"&amp;KMDM[[#This Row],[总账科目]]&amp;"-"&amp;KMDM[[#This Row],[明细科目]]</f>
        <v>221103-应付职工薪酬-职工教育福利</v>
      </c>
      <c r="K72" s="375">
        <f>IFERROR(VLOOKUP(KMDM[[#This Row],[科目代码]],kl[#Data],2,FALSE),0)+KMDM[[#This Row],[年初数]]</f>
        <v>119574.9</v>
      </c>
    </row>
    <row r="73" ht="15" spans="1:11">
      <c r="A73">
        <v>221104</v>
      </c>
      <c r="B73" t="s">
        <v>113</v>
      </c>
      <c r="C73" s="366" t="s">
        <v>117</v>
      </c>
      <c r="D73">
        <v>-1</v>
      </c>
      <c r="E73" s="371"/>
      <c r="F73" s="371"/>
      <c r="I73" s="361">
        <v>-436.829999999999</v>
      </c>
      <c r="J73" s="375" t="str">
        <f>KMDM[[#This Row],[科目代码]]&amp;"-"&amp;KMDM[[#This Row],[总账科目]]&amp;"-"&amp;KMDM[[#This Row],[明细科目]]</f>
        <v>221104-应付职工薪酬-五险</v>
      </c>
      <c r="K73" s="375">
        <f>IFERROR(VLOOKUP(KMDM[[#This Row],[科目代码]],kl[#Data],2,FALSE),0)+KMDM[[#This Row],[年初数]]</f>
        <v>2261.61</v>
      </c>
    </row>
    <row r="74" ht="15" spans="1:11">
      <c r="A74">
        <v>221105</v>
      </c>
      <c r="B74" t="s">
        <v>113</v>
      </c>
      <c r="C74" s="370" t="s">
        <v>118</v>
      </c>
      <c r="D74">
        <v>-1</v>
      </c>
      <c r="E74" s="371"/>
      <c r="F74" s="371"/>
      <c r="J74" s="375" t="str">
        <f>KMDM[[#This Row],[科目代码]]&amp;"-"&amp;KMDM[[#This Row],[总账科目]]&amp;"-"&amp;KMDM[[#This Row],[明细科目]]</f>
        <v>221105-应付职工薪酬-电梯安装施工队</v>
      </c>
      <c r="K74" s="375">
        <f>IFERROR(VLOOKUP(KMDM[[#This Row],[科目代码]],kl[#Data],2,FALSE),0)+KMDM[[#This Row],[年初数]]</f>
        <v>9150</v>
      </c>
    </row>
    <row r="75" ht="15" spans="1:11">
      <c r="A75">
        <v>221106</v>
      </c>
      <c r="B75" t="s">
        <v>113</v>
      </c>
      <c r="C75" s="370" t="s">
        <v>119</v>
      </c>
      <c r="D75">
        <v>-1</v>
      </c>
      <c r="E75" s="371"/>
      <c r="F75" s="371"/>
      <c r="J75" s="375" t="str">
        <f>KMDM[[#This Row],[科目代码]]&amp;"-"&amp;KMDM[[#This Row],[总账科目]]&amp;"-"&amp;KMDM[[#This Row],[明细科目]]</f>
        <v>221106-应付职工薪酬-宝骏安装工程款/蒋维应</v>
      </c>
      <c r="K75" s="375">
        <f>IFERROR(VLOOKUP(KMDM[[#This Row],[科目代码]],kl[#Data],2,FALSE),0)+KMDM[[#This Row],[年初数]]</f>
        <v>0</v>
      </c>
    </row>
    <row r="76" ht="15" spans="1:11">
      <c r="A76">
        <v>221107</v>
      </c>
      <c r="B76" t="s">
        <v>113</v>
      </c>
      <c r="C76" s="370" t="s">
        <v>120</v>
      </c>
      <c r="D76">
        <v>-1</v>
      </c>
      <c r="E76" s="371"/>
      <c r="F76" s="371"/>
      <c r="J76" s="375" t="str">
        <f>KMDM[[#This Row],[科目代码]]&amp;"-"&amp;KMDM[[#This Row],[总账科目]]&amp;"-"&amp;KMDM[[#This Row],[明细科目]]</f>
        <v>221107-应付职工薪酬-惠龙港/魏恒兵</v>
      </c>
      <c r="K76" s="375">
        <f>IFERROR(VLOOKUP(KMDM[[#This Row],[科目代码]],kl[#Data],2,FALSE),0)+KMDM[[#This Row],[年初数]]</f>
        <v>-12000</v>
      </c>
    </row>
    <row r="77" ht="15" spans="1:11">
      <c r="A77">
        <v>221108</v>
      </c>
      <c r="B77" t="s">
        <v>113</v>
      </c>
      <c r="C77" s="370" t="s">
        <v>121</v>
      </c>
      <c r="D77">
        <v>-1</v>
      </c>
      <c r="E77" s="371"/>
      <c r="F77" s="371"/>
      <c r="J77" s="375" t="str">
        <f>KMDM[[#This Row],[科目代码]]&amp;"-"&amp;KMDM[[#This Row],[总账科目]]&amp;"-"&amp;KMDM[[#This Row],[明细科目]]</f>
        <v>221108-应付职工薪酬-科创/傅长生</v>
      </c>
      <c r="K77" s="375">
        <f>IFERROR(VLOOKUP(KMDM[[#This Row],[科目代码]],kl[#Data],2,FALSE),0)+KMDM[[#This Row],[年初数]]</f>
        <v>-10000</v>
      </c>
    </row>
    <row r="78" ht="15" spans="1:11">
      <c r="A78">
        <v>221109</v>
      </c>
      <c r="B78" t="s">
        <v>113</v>
      </c>
      <c r="C78" s="370" t="s">
        <v>122</v>
      </c>
      <c r="D78">
        <v>-1</v>
      </c>
      <c r="E78" s="371"/>
      <c r="F78" s="371"/>
      <c r="J78" s="375" t="str">
        <f>KMDM[[#This Row],[科目代码]]&amp;"-"&amp;KMDM[[#This Row],[总账科目]]&amp;"-"&amp;KMDM[[#This Row],[明细科目]]</f>
        <v>221109-应付职工薪酬-华港/欧晓行</v>
      </c>
      <c r="K78" s="375">
        <f>IFERROR(VLOOKUP(KMDM[[#This Row],[科目代码]],kl[#Data],2,FALSE),0)+KMDM[[#This Row],[年初数]]</f>
        <v>-19350</v>
      </c>
    </row>
    <row r="79" ht="15" spans="1:11">
      <c r="A79">
        <v>221110</v>
      </c>
      <c r="B79" t="s">
        <v>113</v>
      </c>
      <c r="C79" s="370" t="s">
        <v>123</v>
      </c>
      <c r="D79">
        <v>-1</v>
      </c>
      <c r="E79" s="371"/>
      <c r="F79" s="371"/>
      <c r="J79" s="375" t="str">
        <f>KMDM[[#This Row],[科目代码]]&amp;"-"&amp;KMDM[[#This Row],[总账科目]]&amp;"-"&amp;KMDM[[#This Row],[明细科目]]</f>
        <v>221110-应付职工薪酬-嘉钰电梯1台/傅长生</v>
      </c>
      <c r="K79" s="375">
        <f>IFERROR(VLOOKUP(KMDM[[#This Row],[科目代码]],kl[#Data],2,FALSE),0)+KMDM[[#This Row],[年初数]]</f>
        <v>-2400</v>
      </c>
    </row>
    <row r="80" ht="15" spans="1:11">
      <c r="A80">
        <v>221111</v>
      </c>
      <c r="B80" t="s">
        <v>113</v>
      </c>
      <c r="C80" s="370" t="s">
        <v>124</v>
      </c>
      <c r="D80">
        <v>-1</v>
      </c>
      <c r="E80" s="371"/>
      <c r="F80" s="371"/>
      <c r="J80" s="375" t="str">
        <f>KMDM[[#This Row],[科目代码]]&amp;"-"&amp;KMDM[[#This Row],[总账科目]]&amp;"-"&amp;KMDM[[#This Row],[明细科目]]</f>
        <v>221111-应付职工薪酬-惠龙港井道整改/魏恒兵</v>
      </c>
      <c r="K80" s="375">
        <f>IFERROR(VLOOKUP(KMDM[[#This Row],[科目代码]],kl[#Data],2,FALSE),0)+KMDM[[#This Row],[年初数]]</f>
        <v>0</v>
      </c>
    </row>
    <row r="81" ht="15" spans="1:11">
      <c r="A81">
        <v>221112</v>
      </c>
      <c r="B81" t="s">
        <v>113</v>
      </c>
      <c r="C81" s="370" t="s">
        <v>125</v>
      </c>
      <c r="D81">
        <v>-1</v>
      </c>
      <c r="E81" s="371"/>
      <c r="F81" s="371"/>
      <c r="J81" s="375" t="str">
        <f>KMDM[[#This Row],[科目代码]]&amp;"-"&amp;KMDM[[#This Row],[总账科目]]&amp;"-"&amp;KMDM[[#This Row],[明细科目]]</f>
        <v>221112-应付职工薪酬-香江花城/欧</v>
      </c>
      <c r="K81" s="375">
        <f>IFERROR(VLOOKUP(KMDM[[#This Row],[科目代码]],kl[#Data],2,FALSE),0)+KMDM[[#This Row],[年初数]]</f>
        <v>5000</v>
      </c>
    </row>
    <row r="82" ht="15" spans="1:11">
      <c r="A82">
        <v>222101</v>
      </c>
      <c r="B82" t="s">
        <v>126</v>
      </c>
      <c r="C82" s="366" t="s">
        <v>127</v>
      </c>
      <c r="D82">
        <v>-1</v>
      </c>
      <c r="E82" s="371"/>
      <c r="F82" s="371"/>
      <c r="I82" s="361">
        <v>7263.47</v>
      </c>
      <c r="J82" s="375" t="str">
        <f>KMDM[[#This Row],[科目代码]]&amp;"-"&amp;KMDM[[#This Row],[总账科目]]&amp;"-"&amp;KMDM[[#This Row],[明细科目]]</f>
        <v>222101-应交税费-未交增值税</v>
      </c>
      <c r="K82" s="375">
        <f>IFERROR(VLOOKUP(KMDM[[#This Row],[科目代码]],kl[#Data],2,FALSE),0)+KMDM[[#This Row],[年初数]]</f>
        <v>14526.94</v>
      </c>
    </row>
    <row r="83" ht="15" spans="1:11">
      <c r="A83">
        <v>222102</v>
      </c>
      <c r="B83" t="s">
        <v>126</v>
      </c>
      <c r="C83" s="366" t="s">
        <v>128</v>
      </c>
      <c r="D83">
        <v>-1</v>
      </c>
      <c r="E83" s="371"/>
      <c r="F83" s="371"/>
      <c r="I83" s="361">
        <v>437.5</v>
      </c>
      <c r="J83" s="375" t="str">
        <f>KMDM[[#This Row],[科目代码]]&amp;"-"&amp;KMDM[[#This Row],[总账科目]]&amp;"-"&amp;KMDM[[#This Row],[明细科目]]</f>
        <v>222102-应交税费-营业税</v>
      </c>
      <c r="K83" s="375">
        <f>IFERROR(VLOOKUP(KMDM[[#This Row],[科目代码]],kl[#Data],2,FALSE),0)+KMDM[[#This Row],[年初数]]</f>
        <v>807.5</v>
      </c>
    </row>
    <row r="84" ht="15" spans="1:11">
      <c r="A84">
        <v>222103</v>
      </c>
      <c r="B84" t="s">
        <v>126</v>
      </c>
      <c r="C84" s="366" t="s">
        <v>129</v>
      </c>
      <c r="D84">
        <v>-1</v>
      </c>
      <c r="E84" s="371"/>
      <c r="F84" s="371"/>
      <c r="I84" s="361">
        <v>539.07</v>
      </c>
      <c r="J84" s="375" t="str">
        <f>KMDM[[#This Row],[科目代码]]&amp;"-"&amp;KMDM[[#This Row],[总账科目]]&amp;"-"&amp;KMDM[[#This Row],[明细科目]]</f>
        <v>222103-应交税费-城市维护建设税</v>
      </c>
      <c r="K84" s="375">
        <f>IFERROR(VLOOKUP(KMDM[[#This Row],[科目代码]],kl[#Data],2,FALSE),0)+KMDM[[#This Row],[年初数]]</f>
        <v>1168.79</v>
      </c>
    </row>
    <row r="85" ht="15" spans="1:11">
      <c r="A85">
        <v>222104</v>
      </c>
      <c r="B85" t="s">
        <v>126</v>
      </c>
      <c r="C85" s="366" t="s">
        <v>130</v>
      </c>
      <c r="D85">
        <v>-1</v>
      </c>
      <c r="E85" s="371"/>
      <c r="F85" s="371"/>
      <c r="I85" s="361">
        <v>385.05</v>
      </c>
      <c r="J85" s="375" t="str">
        <f>KMDM[[#This Row],[科目代码]]&amp;"-"&amp;KMDM[[#This Row],[总账科目]]&amp;"-"&amp;KMDM[[#This Row],[明细科目]]</f>
        <v>222104-应交税费-教育费附加</v>
      </c>
      <c r="K85" s="375">
        <f>IFERROR(VLOOKUP(KMDM[[#This Row],[科目代码]],kl[#Data],2,FALSE),0)+KMDM[[#This Row],[年初数]]</f>
        <v>705.74</v>
      </c>
    </row>
    <row r="86" ht="15" spans="1:11">
      <c r="A86">
        <v>222105</v>
      </c>
      <c r="B86" t="s">
        <v>126</v>
      </c>
      <c r="C86" s="366" t="s">
        <v>131</v>
      </c>
      <c r="D86">
        <v>-1</v>
      </c>
      <c r="E86" s="371"/>
      <c r="F86" s="371"/>
      <c r="I86" s="361">
        <v>41.8</v>
      </c>
      <c r="J86" s="375" t="str">
        <f>KMDM[[#This Row],[科目代码]]&amp;"-"&amp;KMDM[[#This Row],[总账科目]]&amp;"-"&amp;KMDM[[#This Row],[明细科目]]</f>
        <v>222105-应交税费-印花税</v>
      </c>
      <c r="K86" s="375">
        <f>IFERROR(VLOOKUP(KMDM[[#This Row],[科目代码]],kl[#Data],2,FALSE),0)+KMDM[[#This Row],[年初数]]</f>
        <v>217.91</v>
      </c>
    </row>
    <row r="87" ht="15" spans="1:11">
      <c r="A87">
        <v>222106</v>
      </c>
      <c r="B87" t="s">
        <v>126</v>
      </c>
      <c r="C87" s="366" t="s">
        <v>132</v>
      </c>
      <c r="D87">
        <v>-1</v>
      </c>
      <c r="E87" s="371"/>
      <c r="F87" s="371"/>
      <c r="I87" s="361">
        <v>0</v>
      </c>
      <c r="J87" s="375" t="str">
        <f>KMDM[[#This Row],[科目代码]]&amp;"-"&amp;KMDM[[#This Row],[总账科目]]&amp;"-"&amp;KMDM[[#This Row],[明细科目]]</f>
        <v>222106-应交税费-企业所得税</v>
      </c>
      <c r="K87" s="375">
        <f>IFERROR(VLOOKUP(KMDM[[#This Row],[科目代码]],kl[#Data],2,FALSE),0)+KMDM[[#This Row],[年初数]]</f>
        <v>0</v>
      </c>
    </row>
    <row r="88" ht="15" spans="1:11">
      <c r="A88">
        <v>222121</v>
      </c>
      <c r="B88" t="s">
        <v>126</v>
      </c>
      <c r="C88" s="366" t="s">
        <v>133</v>
      </c>
      <c r="D88">
        <v>-1</v>
      </c>
      <c r="E88" s="371"/>
      <c r="F88" s="371"/>
      <c r="I88" s="361">
        <v>-33040.99</v>
      </c>
      <c r="J88" s="375" t="str">
        <f>KMDM[[#This Row],[科目代码]]&amp;"-"&amp;KMDM[[#This Row],[总账科目]]&amp;"-"&amp;KMDM[[#This Row],[明细科目]]</f>
        <v>222121-应交税费-应交增值税-进项税</v>
      </c>
      <c r="K88" s="375">
        <f>IFERROR(VLOOKUP(KMDM[[#This Row],[科目代码]],kl[#Data],2,FALSE),0)+KMDM[[#This Row],[年初数]]</f>
        <v>41786.4</v>
      </c>
    </row>
    <row r="89" ht="15" spans="1:11">
      <c r="A89">
        <v>222122</v>
      </c>
      <c r="B89" t="s">
        <v>126</v>
      </c>
      <c r="C89" s="366" t="s">
        <v>134</v>
      </c>
      <c r="D89">
        <v>-1</v>
      </c>
      <c r="E89" s="371"/>
      <c r="F89" s="371"/>
      <c r="I89" s="361">
        <v>0</v>
      </c>
      <c r="J89" s="375" t="str">
        <f>KMDM[[#This Row],[科目代码]]&amp;"-"&amp;KMDM[[#This Row],[总账科目]]&amp;"-"&amp;KMDM[[#This Row],[明细科目]]</f>
        <v>222122-应交税费-应交增值税-已交税金</v>
      </c>
      <c r="K89" s="375">
        <f>IFERROR(VLOOKUP(KMDM[[#This Row],[科目代码]],kl[#Data],2,FALSE),0)+KMDM[[#This Row],[年初数]]</f>
        <v>0</v>
      </c>
    </row>
    <row r="90" ht="15" spans="1:11">
      <c r="A90">
        <v>222123</v>
      </c>
      <c r="B90" t="s">
        <v>126</v>
      </c>
      <c r="C90" s="366" t="s">
        <v>135</v>
      </c>
      <c r="D90">
        <v>-1</v>
      </c>
      <c r="E90" s="371"/>
      <c r="F90" s="371"/>
      <c r="I90" s="361">
        <v>0</v>
      </c>
      <c r="J90" s="375" t="str">
        <f>KMDM[[#This Row],[科目代码]]&amp;"-"&amp;KMDM[[#This Row],[总账科目]]&amp;"-"&amp;KMDM[[#This Row],[明细科目]]</f>
        <v>222123-应交税费-应交增值税-未交税金转出</v>
      </c>
      <c r="K90" s="375">
        <f>IFERROR(VLOOKUP(KMDM[[#This Row],[科目代码]],kl[#Data],2,FALSE),0)+KMDM[[#This Row],[年初数]]</f>
        <v>6303.06</v>
      </c>
    </row>
    <row r="91" ht="15" spans="1:11">
      <c r="A91">
        <v>222125</v>
      </c>
      <c r="B91" t="s">
        <v>126</v>
      </c>
      <c r="C91" s="366" t="s">
        <v>136</v>
      </c>
      <c r="D91">
        <v>-1</v>
      </c>
      <c r="E91" s="371"/>
      <c r="F91" s="371"/>
      <c r="I91" s="361">
        <v>0</v>
      </c>
      <c r="J91" s="375" t="str">
        <f>KMDM[[#This Row],[科目代码]]&amp;"-"&amp;KMDM[[#This Row],[总账科目]]&amp;"-"&amp;KMDM[[#This Row],[明细科目]]</f>
        <v>222125-应交税费-应交增值税-销项税</v>
      </c>
      <c r="K91" s="375">
        <f>IFERROR(VLOOKUP(KMDM[[#This Row],[科目代码]],kl[#Data],2,FALSE),0)+KMDM[[#This Row],[年初数]]</f>
        <v>-113935.73</v>
      </c>
    </row>
    <row r="92" ht="15" spans="1:11">
      <c r="A92">
        <v>222126</v>
      </c>
      <c r="B92" t="s">
        <v>126</v>
      </c>
      <c r="C92" s="366" t="s">
        <v>137</v>
      </c>
      <c r="D92">
        <v>-1</v>
      </c>
      <c r="E92" s="371"/>
      <c r="F92" s="371"/>
      <c r="I92" s="361">
        <v>0</v>
      </c>
      <c r="J92" s="375" t="str">
        <f>KMDM[[#This Row],[科目代码]]&amp;"-"&amp;KMDM[[#This Row],[总账科目]]&amp;"-"&amp;KMDM[[#This Row],[明细科目]]</f>
        <v>222126-应交税费-应交增值税-进项税额转出</v>
      </c>
      <c r="K92" s="375">
        <f>IFERROR(VLOOKUP(KMDM[[#This Row],[科目代码]],kl[#Data],2,FALSE),0)+KMDM[[#This Row],[年初数]]</f>
        <v>0</v>
      </c>
    </row>
    <row r="93" ht="15" spans="1:11">
      <c r="A93">
        <v>222127</v>
      </c>
      <c r="B93" t="s">
        <v>126</v>
      </c>
      <c r="C93" s="366" t="s">
        <v>138</v>
      </c>
      <c r="D93">
        <v>-1</v>
      </c>
      <c r="E93" s="371"/>
      <c r="F93" s="371"/>
      <c r="I93" s="361">
        <v>0</v>
      </c>
      <c r="J93" s="375" t="str">
        <f>KMDM[[#This Row],[科目代码]]&amp;"-"&amp;KMDM[[#This Row],[总账科目]]&amp;"-"&amp;KMDM[[#This Row],[明细科目]]</f>
        <v>222127-应交税费-应交增值税-转出多交增值税</v>
      </c>
      <c r="K93" s="375">
        <f>IFERROR(VLOOKUP(KMDM[[#This Row],[科目代码]],kl[#Data],2,FALSE),0)+KMDM[[#This Row],[年初数]]</f>
        <v>0</v>
      </c>
    </row>
    <row r="94" ht="15" spans="1:11">
      <c r="A94">
        <v>222128</v>
      </c>
      <c r="B94" t="s">
        <v>126</v>
      </c>
      <c r="C94" s="366" t="s">
        <v>139</v>
      </c>
      <c r="D94">
        <v>-1</v>
      </c>
      <c r="E94" s="371"/>
      <c r="F94" s="371"/>
      <c r="I94" s="361"/>
      <c r="J94" s="375" t="str">
        <f>KMDM[[#This Row],[科目代码]]&amp;"-"&amp;KMDM[[#This Row],[总账科目]]&amp;"-"&amp;KMDM[[#This Row],[明细科目]]</f>
        <v>222128-应交税费-应交增值税-减免税额</v>
      </c>
      <c r="K94" s="375">
        <f>IFERROR(VLOOKUP(KMDM[[#This Row],[科目代码]],kl[#Data],2,FALSE),0)+KMDM[[#This Row],[年初数]]</f>
        <v>370</v>
      </c>
    </row>
    <row r="95" ht="15" spans="1:11">
      <c r="A95">
        <v>224101</v>
      </c>
      <c r="B95" t="s">
        <v>140</v>
      </c>
      <c r="C95" s="366" t="s">
        <v>12</v>
      </c>
      <c r="D95">
        <v>-1</v>
      </c>
      <c r="E95" s="371"/>
      <c r="F95" s="371"/>
      <c r="I95" s="361">
        <v>-56792.9</v>
      </c>
      <c r="J95" s="375" t="str">
        <f>KMDM[[#This Row],[科目代码]]&amp;"-"&amp;KMDM[[#This Row],[总账科目]]&amp;"-"&amp;KMDM[[#This Row],[明细科目]]</f>
        <v>224101-其他应付款-华德明</v>
      </c>
      <c r="K95" s="375">
        <f>IFERROR(VLOOKUP(KMDM[[#This Row],[科目代码]],kl[#Data],2,FALSE),0)+KMDM[[#This Row],[年初数]]</f>
        <v>-113585.8</v>
      </c>
    </row>
    <row r="96" ht="15" spans="1:11">
      <c r="A96">
        <v>224102</v>
      </c>
      <c r="B96" t="s">
        <v>140</v>
      </c>
      <c r="C96" s="366" t="s">
        <v>81</v>
      </c>
      <c r="D96">
        <v>-1</v>
      </c>
      <c r="E96" s="371"/>
      <c r="F96" s="371"/>
      <c r="I96" s="361">
        <v>7119.75</v>
      </c>
      <c r="J96" s="375" t="str">
        <f>KMDM[[#This Row],[科目代码]]&amp;"-"&amp;KMDM[[#This Row],[总账科目]]&amp;"-"&amp;KMDM[[#This Row],[明细科目]]</f>
        <v>224102-其他应付款-尹仲林</v>
      </c>
      <c r="K96" s="375">
        <f>IFERROR(VLOOKUP(KMDM[[#This Row],[科目代码]],kl[#Data],2,FALSE),0)+KMDM[[#This Row],[年初数]]</f>
        <v>14239.5</v>
      </c>
    </row>
    <row r="97" ht="15" spans="1:11">
      <c r="A97">
        <v>224103</v>
      </c>
      <c r="B97" t="s">
        <v>140</v>
      </c>
      <c r="C97" s="366" t="s">
        <v>141</v>
      </c>
      <c r="D97">
        <v>-1</v>
      </c>
      <c r="E97" s="371"/>
      <c r="F97" s="371"/>
      <c r="I97" s="361">
        <v>1755.45</v>
      </c>
      <c r="J97" s="375" t="str">
        <f>KMDM[[#This Row],[科目代码]]&amp;"-"&amp;KMDM[[#This Row],[总账科目]]&amp;"-"&amp;KMDM[[#This Row],[明细科目]]</f>
        <v>224103-其他应付款-代扣职工保险</v>
      </c>
      <c r="K97" s="375">
        <f>IFERROR(VLOOKUP(KMDM[[#This Row],[科目代码]],kl[#Data],2,FALSE),0)+KMDM[[#This Row],[年初数]]</f>
        <v>3510.9</v>
      </c>
    </row>
    <row r="98" ht="15" spans="1:11">
      <c r="A98">
        <v>224104</v>
      </c>
      <c r="B98" t="s">
        <v>140</v>
      </c>
      <c r="C98" s="366" t="s">
        <v>142</v>
      </c>
      <c r="D98">
        <v>-1</v>
      </c>
      <c r="E98" s="371"/>
      <c r="F98" s="371"/>
      <c r="I98" s="361">
        <v>139.34</v>
      </c>
      <c r="J98" s="375" t="str">
        <f>KMDM[[#This Row],[科目代码]]&amp;"-"&amp;KMDM[[#This Row],[总账科目]]&amp;"-"&amp;KMDM[[#This Row],[明细科目]]</f>
        <v>224104-其他应付款-综合基金</v>
      </c>
      <c r="K98" s="375">
        <f>IFERROR(VLOOKUP(KMDM[[#This Row],[科目代码]],kl[#Data],2,FALSE),0)+KMDM[[#This Row],[年初数]]</f>
        <v>288.51</v>
      </c>
    </row>
    <row r="99" ht="15" spans="1:11">
      <c r="A99">
        <v>224105</v>
      </c>
      <c r="B99" t="s">
        <v>140</v>
      </c>
      <c r="C99" s="366" t="s">
        <v>143</v>
      </c>
      <c r="D99">
        <v>-1</v>
      </c>
      <c r="E99" s="371"/>
      <c r="F99" s="371"/>
      <c r="I99" s="361"/>
      <c r="J99" s="375" t="str">
        <f>KMDM[[#This Row],[科目代码]]&amp;"-"&amp;KMDM[[#This Row],[总账科目]]&amp;"-"&amp;KMDM[[#This Row],[明细科目]]</f>
        <v>224105-其他应付款-华德明代付工资等</v>
      </c>
      <c r="K99" s="375">
        <f>IFERROR(VLOOKUP(KMDM[[#This Row],[科目代码]],kl[#Data],2,FALSE),0)+KMDM[[#This Row],[年初数]]</f>
        <v>0</v>
      </c>
    </row>
    <row r="100" ht="15" spans="1:11">
      <c r="A100">
        <v>300101</v>
      </c>
      <c r="B100" t="s">
        <v>144</v>
      </c>
      <c r="C100" s="366" t="s">
        <v>12</v>
      </c>
      <c r="D100">
        <v>-1</v>
      </c>
      <c r="E100" s="371"/>
      <c r="F100" s="371"/>
      <c r="I100" s="361">
        <v>600000</v>
      </c>
      <c r="J100" s="375" t="str">
        <f>KMDM[[#This Row],[科目代码]]&amp;"-"&amp;KMDM[[#This Row],[总账科目]]&amp;"-"&amp;KMDM[[#This Row],[明细科目]]</f>
        <v>300101-实收资本-华德明</v>
      </c>
      <c r="K100" s="375">
        <f>IFERROR(VLOOKUP(KMDM[[#This Row],[科目代码]],kl[#Data],2,FALSE),0)+KMDM[[#This Row],[年初数]]</f>
        <v>0</v>
      </c>
    </row>
    <row r="101" ht="15" spans="1:11">
      <c r="A101">
        <v>300102</v>
      </c>
      <c r="B101" t="s">
        <v>144</v>
      </c>
      <c r="C101" s="366" t="s">
        <v>80</v>
      </c>
      <c r="D101">
        <v>-1</v>
      </c>
      <c r="E101" s="371"/>
      <c r="F101" s="371"/>
      <c r="I101" s="361">
        <v>300000</v>
      </c>
      <c r="J101" s="375" t="str">
        <f>KMDM[[#This Row],[科目代码]]&amp;"-"&amp;KMDM[[#This Row],[总账科目]]&amp;"-"&amp;KMDM[[#This Row],[明细科目]]</f>
        <v>300102-实收资本-贾征豪</v>
      </c>
      <c r="K101" s="375">
        <f>IFERROR(VLOOKUP(KMDM[[#This Row],[科目代码]],kl[#Data],2,FALSE),0)+KMDM[[#This Row],[年初数]]</f>
        <v>300000</v>
      </c>
    </row>
    <row r="102" ht="15" spans="1:11">
      <c r="A102">
        <v>300103</v>
      </c>
      <c r="B102" t="s">
        <v>144</v>
      </c>
      <c r="C102" s="366" t="s">
        <v>81</v>
      </c>
      <c r="D102">
        <v>-1</v>
      </c>
      <c r="E102" s="371"/>
      <c r="F102" s="371"/>
      <c r="I102" s="361">
        <v>300000</v>
      </c>
      <c r="J102" s="375" t="str">
        <f>KMDM[[#This Row],[科目代码]]&amp;"-"&amp;KMDM[[#This Row],[总账科目]]&amp;"-"&amp;KMDM[[#This Row],[明细科目]]</f>
        <v>300103-实收资本-尹仲林</v>
      </c>
      <c r="K102" s="375">
        <f>IFERROR(VLOOKUP(KMDM[[#This Row],[科目代码]],kl[#Data],2,FALSE),0)+KMDM[[#This Row],[年初数]]</f>
        <v>600000</v>
      </c>
    </row>
    <row r="103" ht="15" spans="1:11">
      <c r="A103">
        <v>300104</v>
      </c>
      <c r="B103" t="s">
        <v>144</v>
      </c>
      <c r="C103" s="366" t="s">
        <v>79</v>
      </c>
      <c r="D103">
        <v>-1</v>
      </c>
      <c r="E103" s="371"/>
      <c r="F103" s="371"/>
      <c r="I103" s="361">
        <v>300000</v>
      </c>
      <c r="J103" s="375" t="str">
        <f>KMDM[[#This Row],[科目代码]]&amp;"-"&amp;KMDM[[#This Row],[总账科目]]&amp;"-"&amp;KMDM[[#This Row],[明细科目]]</f>
        <v>300104-实收资本-黎志军</v>
      </c>
      <c r="K103" s="375">
        <f>IFERROR(VLOOKUP(KMDM[[#This Row],[科目代码]],kl[#Data],2,FALSE),0)+KMDM[[#This Row],[年初数]]</f>
        <v>600000</v>
      </c>
    </row>
    <row r="104" ht="15" spans="1:11">
      <c r="A104">
        <v>310301</v>
      </c>
      <c r="B104" t="s">
        <v>145</v>
      </c>
      <c r="C104" s="366" t="s">
        <v>146</v>
      </c>
      <c r="D104">
        <v>-1</v>
      </c>
      <c r="E104" s="371"/>
      <c r="F104" s="371"/>
      <c r="I104" s="361">
        <v>0</v>
      </c>
      <c r="J104" s="375" t="str">
        <f>KMDM[[#This Row],[科目代码]]&amp;"-"&amp;KMDM[[#This Row],[总账科目]]&amp;"-"&amp;KMDM[[#This Row],[明细科目]]</f>
        <v>310301-本年利润-2014年</v>
      </c>
      <c r="K104" s="375">
        <f>IFERROR(VLOOKUP(KMDM[[#This Row],[科目代码]],kl[#Data],2,FALSE),0)+KMDM[[#This Row],[年初数]]</f>
        <v>0</v>
      </c>
    </row>
    <row r="105" ht="15" spans="1:11">
      <c r="A105">
        <v>310401</v>
      </c>
      <c r="B105" t="s">
        <v>147</v>
      </c>
      <c r="C105" s="366" t="s">
        <v>148</v>
      </c>
      <c r="D105">
        <v>-1</v>
      </c>
      <c r="E105" s="371"/>
      <c r="F105" s="371"/>
      <c r="I105" s="361">
        <v>-323342.29</v>
      </c>
      <c r="J105" s="375" t="str">
        <f>KMDM[[#This Row],[科目代码]]&amp;"-"&amp;KMDM[[#This Row],[总账科目]]&amp;"-"&amp;KMDM[[#This Row],[明细科目]]</f>
        <v>310401-利润分配-未分配利润</v>
      </c>
      <c r="K105" s="375">
        <f>IFERROR(VLOOKUP(KMDM[[#This Row],[科目代码]],kl[#Data],2,FALSE),0)+KMDM[[#This Row],[年初数]]</f>
        <v>-323342.29</v>
      </c>
    </row>
    <row r="106" ht="15" spans="1:11">
      <c r="A106">
        <v>440101</v>
      </c>
      <c r="B106" t="s">
        <v>149</v>
      </c>
      <c r="C106" s="366" t="s">
        <v>150</v>
      </c>
      <c r="D106">
        <v>1</v>
      </c>
      <c r="E106" s="371"/>
      <c r="F106" s="371"/>
      <c r="I106" s="361">
        <v>151740</v>
      </c>
      <c r="J106" s="375" t="str">
        <f>KMDM[[#This Row],[科目代码]]&amp;"-"&amp;KMDM[[#This Row],[总账科目]]&amp;"-"&amp;KMDM[[#This Row],[明细科目]]</f>
        <v>440101-工程施工-电梯安装/华港7台/欧晓行</v>
      </c>
      <c r="K106" s="375">
        <f>IFERROR(VLOOKUP(KMDM[[#This Row],[科目代码]],kl[#Data],2,FALSE),0)+KMDM[[#This Row],[年初数]]</f>
        <v>0</v>
      </c>
    </row>
    <row r="107" ht="15" spans="1:11">
      <c r="A107">
        <v>440102</v>
      </c>
      <c r="B107" t="s">
        <v>149</v>
      </c>
      <c r="C107" s="366" t="s">
        <v>151</v>
      </c>
      <c r="D107">
        <v>1</v>
      </c>
      <c r="E107" s="371"/>
      <c r="F107" s="371"/>
      <c r="I107" s="361"/>
      <c r="J107" s="375" t="str">
        <f>KMDM[[#This Row],[科目代码]]&amp;"-"&amp;KMDM[[#This Row],[总账科目]]&amp;"-"&amp;KMDM[[#This Row],[明细科目]]</f>
        <v>440102-工程施工-电梯安装/江大1台/欧晓行</v>
      </c>
      <c r="K107" s="375">
        <f>IFERROR(VLOOKUP(KMDM[[#This Row],[科目代码]],kl[#Data],2,FALSE),0)+KMDM[[#This Row],[年初数]]</f>
        <v>0</v>
      </c>
    </row>
    <row r="108" ht="15" spans="1:11">
      <c r="A108">
        <v>440103</v>
      </c>
      <c r="B108" t="s">
        <v>149</v>
      </c>
      <c r="C108" s="366" t="s">
        <v>152</v>
      </c>
      <c r="D108">
        <v>1</v>
      </c>
      <c r="E108" s="371"/>
      <c r="F108" s="371"/>
      <c r="I108" s="361"/>
      <c r="J108" s="375" t="str">
        <f>KMDM[[#This Row],[科目代码]]&amp;"-"&amp;KMDM[[#This Row],[总账科目]]&amp;"-"&amp;KMDM[[#This Row],[明细科目]]</f>
        <v>440103-工程施工-电梯安装/华实/欧晓行</v>
      </c>
      <c r="K108" s="375">
        <f>IFERROR(VLOOKUP(KMDM[[#This Row],[科目代码]],kl[#Data],2,FALSE),0)+KMDM[[#This Row],[年初数]]</f>
        <v>30000</v>
      </c>
    </row>
    <row r="109" ht="15" spans="1:11">
      <c r="A109">
        <v>440104</v>
      </c>
      <c r="B109" t="s">
        <v>149</v>
      </c>
      <c r="C109" s="366" t="s">
        <v>153</v>
      </c>
      <c r="D109">
        <v>1</v>
      </c>
      <c r="E109" s="371"/>
      <c r="F109" s="371"/>
      <c r="I109" s="361"/>
      <c r="J109" s="375" t="str">
        <f>KMDM[[#This Row],[科目代码]]&amp;"-"&amp;KMDM[[#This Row],[总账科目]]&amp;"-"&amp;KMDM[[#This Row],[明细科目]]</f>
        <v>440104-工程施工-电梯安装/嘉钰/傅长文</v>
      </c>
      <c r="K109" s="375">
        <f>IFERROR(VLOOKUP(KMDM[[#This Row],[科目代码]],kl[#Data],2,FALSE),0)+KMDM[[#This Row],[年初数]]</f>
        <v>14000</v>
      </c>
    </row>
    <row r="110" ht="15" spans="1:11">
      <c r="A110">
        <v>440105</v>
      </c>
      <c r="B110" t="s">
        <v>149</v>
      </c>
      <c r="C110" s="366" t="s">
        <v>154</v>
      </c>
      <c r="D110">
        <v>1</v>
      </c>
      <c r="E110" s="371"/>
      <c r="F110" s="371"/>
      <c r="I110" s="361"/>
      <c r="J110" s="375" t="str">
        <f>KMDM[[#This Row],[科目代码]]&amp;"-"&amp;KMDM[[#This Row],[总账科目]]&amp;"-"&amp;KMDM[[#This Row],[明细科目]]</f>
        <v>440105-工程施工-电梯安装/无锡宝骏</v>
      </c>
      <c r="K110" s="375">
        <f>IFERROR(VLOOKUP(KMDM[[#This Row],[科目代码]],kl[#Data],2,FALSE),0)+KMDM[[#This Row],[年初数]]</f>
        <v>0</v>
      </c>
    </row>
    <row r="111" ht="15" spans="1:11">
      <c r="A111">
        <v>440106</v>
      </c>
      <c r="B111" t="s">
        <v>149</v>
      </c>
      <c r="C111" s="366" t="s">
        <v>155</v>
      </c>
      <c r="D111">
        <v>1</v>
      </c>
      <c r="E111" s="371"/>
      <c r="F111" s="371"/>
      <c r="I111" s="361"/>
      <c r="J111" s="375" t="str">
        <f>KMDM[[#This Row],[科目代码]]&amp;"-"&amp;KMDM[[#This Row],[总账科目]]&amp;"-"&amp;KMDM[[#This Row],[明细科目]]</f>
        <v>440106-工程施工-电梯安装/工资过渡户</v>
      </c>
      <c r="K111" s="375">
        <f>IFERROR(VLOOKUP(KMDM[[#This Row],[科目代码]],kl[#Data],2,FALSE),0)+KMDM[[#This Row],[年初数]]</f>
        <v>15234.52</v>
      </c>
    </row>
    <row r="112" ht="15" spans="1:11">
      <c r="A112">
        <v>440107</v>
      </c>
      <c r="B112" t="s">
        <v>149</v>
      </c>
      <c r="C112" s="366" t="s">
        <v>156</v>
      </c>
      <c r="D112">
        <v>1</v>
      </c>
      <c r="E112" s="371"/>
      <c r="F112" s="371"/>
      <c r="I112" s="361"/>
      <c r="J112" s="375" t="str">
        <f>KMDM[[#This Row],[科目代码]]&amp;"-"&amp;KMDM[[#This Row],[总账科目]]&amp;"-"&amp;KMDM[[#This Row],[明细科目]]</f>
        <v>440107-工程施工-电梯安装/惠龙港/魏恒兵</v>
      </c>
      <c r="K112" s="375">
        <f>IFERROR(VLOOKUP(KMDM[[#This Row],[科目代码]],kl[#Data],2,FALSE),0)+KMDM[[#This Row],[年初数]]</f>
        <v>0</v>
      </c>
    </row>
    <row r="113" ht="15" spans="1:11">
      <c r="A113">
        <v>440108</v>
      </c>
      <c r="B113" t="s">
        <v>149</v>
      </c>
      <c r="C113" s="370" t="s">
        <v>121</v>
      </c>
      <c r="D113">
        <v>1</v>
      </c>
      <c r="E113" s="371"/>
      <c r="F113" s="371"/>
      <c r="J113" s="375" t="str">
        <f>KMDM[[#This Row],[科目代码]]&amp;"-"&amp;KMDM[[#This Row],[总账科目]]&amp;"-"&amp;KMDM[[#This Row],[明细科目]]</f>
        <v>440108-工程施工-科创/傅长生</v>
      </c>
      <c r="K113" s="375">
        <f>IFERROR(VLOOKUP(KMDM[[#This Row],[科目代码]],kl[#Data],2,FALSE),0)+KMDM[[#This Row],[年初数]]</f>
        <v>0</v>
      </c>
    </row>
    <row r="114" ht="15" spans="1:11">
      <c r="A114">
        <v>440109</v>
      </c>
      <c r="B114" t="s">
        <v>149</v>
      </c>
      <c r="C114" s="370" t="s">
        <v>125</v>
      </c>
      <c r="D114">
        <v>1</v>
      </c>
      <c r="E114" s="371"/>
      <c r="F114" s="371"/>
      <c r="J114" s="375" t="str">
        <f>KMDM[[#This Row],[科目代码]]&amp;"-"&amp;KMDM[[#This Row],[总账科目]]&amp;"-"&amp;KMDM[[#This Row],[明细科目]]</f>
        <v>440109-工程施工-香江花城/欧</v>
      </c>
      <c r="K114" s="375">
        <f>IFERROR(VLOOKUP(KMDM[[#This Row],[科目代码]],kl[#Data],2,FALSE),0)+KMDM[[#This Row],[年初数]]</f>
        <v>5000</v>
      </c>
    </row>
    <row r="115" ht="15" spans="1:11">
      <c r="A115">
        <v>500101</v>
      </c>
      <c r="B115" t="s">
        <v>157</v>
      </c>
      <c r="C115" s="366" t="s">
        <v>158</v>
      </c>
      <c r="D115">
        <v>-1</v>
      </c>
      <c r="E115" s="371"/>
      <c r="F115" s="371"/>
      <c r="I115" s="361">
        <v>0</v>
      </c>
      <c r="J115" s="375" t="str">
        <f>KMDM[[#This Row],[科目代码]]&amp;"-"&amp;KMDM[[#This Row],[总账科目]]&amp;"-"&amp;KMDM[[#This Row],[明细科目]]</f>
        <v>500101-主营业务收入-电梯及配件销售收入</v>
      </c>
      <c r="K115" s="375">
        <f>IFERROR(VLOOKUP(KMDM[[#This Row],[科目代码]],kl[#Data],2,FALSE),0)+KMDM[[#This Row],[年初数]]</f>
        <v>-670210.27</v>
      </c>
    </row>
    <row r="116" ht="15" spans="1:11">
      <c r="A116">
        <v>500102</v>
      </c>
      <c r="B116" t="s">
        <v>157</v>
      </c>
      <c r="C116" s="366" t="s">
        <v>159</v>
      </c>
      <c r="D116">
        <v>-1</v>
      </c>
      <c r="E116" s="371"/>
      <c r="F116" s="371"/>
      <c r="I116" s="361">
        <v>0</v>
      </c>
      <c r="J116" s="375" t="str">
        <f>KMDM[[#This Row],[科目代码]]&amp;"-"&amp;KMDM[[#This Row],[总账科目]]&amp;"-"&amp;KMDM[[#This Row],[明细科目]]</f>
        <v>500102-主营业务收入-劳务收入(维保)</v>
      </c>
      <c r="K116" s="375">
        <f>IFERROR(VLOOKUP(KMDM[[#This Row],[科目代码]],kl[#Data],2,FALSE),0)+KMDM[[#This Row],[年初数]]</f>
        <v>-162570</v>
      </c>
    </row>
    <row r="117" ht="15" spans="1:11">
      <c r="A117">
        <v>500103</v>
      </c>
      <c r="B117" t="s">
        <v>157</v>
      </c>
      <c r="C117" s="366" t="s">
        <v>160</v>
      </c>
      <c r="D117">
        <v>-1</v>
      </c>
      <c r="E117" s="371"/>
      <c r="F117" s="371"/>
      <c r="I117" s="361">
        <v>0</v>
      </c>
      <c r="J117" s="375" t="str">
        <f>KMDM[[#This Row],[科目代码]]&amp;"-"&amp;KMDM[[#This Row],[总账科目]]&amp;"-"&amp;KMDM[[#This Row],[明细科目]]</f>
        <v>500103-主营业务收入-安装电梯收入-住建部</v>
      </c>
      <c r="K117" s="375">
        <f>IFERROR(VLOOKUP(KMDM[[#This Row],[科目代码]],kl[#Data],2,FALSE),0)+KMDM[[#This Row],[年初数]]</f>
        <v>-381000</v>
      </c>
    </row>
    <row r="118" ht="15" spans="1:11">
      <c r="A118">
        <v>540101</v>
      </c>
      <c r="B118" t="s">
        <v>161</v>
      </c>
      <c r="C118" s="366" t="s">
        <v>162</v>
      </c>
      <c r="D118">
        <v>1</v>
      </c>
      <c r="E118" s="371"/>
      <c r="F118" s="371"/>
      <c r="I118" s="361">
        <v>0</v>
      </c>
      <c r="J118" s="375" t="str">
        <f>KMDM[[#This Row],[科目代码]]&amp;"-"&amp;KMDM[[#This Row],[总账科目]]&amp;"-"&amp;KMDM[[#This Row],[明细科目]]</f>
        <v>540101-主营业务成本-电梯及配件销售成本</v>
      </c>
      <c r="K118" s="375">
        <f>IFERROR(VLOOKUP(KMDM[[#This Row],[科目代码]],kl[#Data],2,FALSE),0)+KMDM[[#This Row],[年初数]]</f>
        <v>583568.71</v>
      </c>
    </row>
    <row r="119" ht="15" spans="1:11">
      <c r="A119">
        <v>540102</v>
      </c>
      <c r="B119" t="s">
        <v>161</v>
      </c>
      <c r="C119" s="366" t="s">
        <v>163</v>
      </c>
      <c r="D119">
        <v>1</v>
      </c>
      <c r="E119" s="371"/>
      <c r="F119" s="371"/>
      <c r="I119" s="361">
        <v>0</v>
      </c>
      <c r="J119" s="375" t="str">
        <f>KMDM[[#This Row],[科目代码]]&amp;"-"&amp;KMDM[[#This Row],[总账科目]]&amp;"-"&amp;KMDM[[#This Row],[明细科目]]</f>
        <v>540102-主营业务成本-劳务成本(维保)</v>
      </c>
      <c r="K119" s="375">
        <f>IFERROR(VLOOKUP(KMDM[[#This Row],[科目代码]],kl[#Data],2,FALSE),0)+KMDM[[#This Row],[年初数]]</f>
        <v>31540.84</v>
      </c>
    </row>
    <row r="120" ht="15" spans="1:11">
      <c r="A120">
        <v>540103</v>
      </c>
      <c r="B120" t="s">
        <v>161</v>
      </c>
      <c r="C120" s="366" t="s">
        <v>164</v>
      </c>
      <c r="D120">
        <v>1</v>
      </c>
      <c r="E120" s="371"/>
      <c r="F120" s="371"/>
      <c r="I120" s="361">
        <v>0</v>
      </c>
      <c r="J120" s="375" t="str">
        <f>KMDM[[#This Row],[科目代码]]&amp;"-"&amp;KMDM[[#This Row],[总账科目]]&amp;"-"&amp;KMDM[[#This Row],[明细科目]]</f>
        <v>540103-主营业务成本-安装电梯成本-住建部</v>
      </c>
      <c r="K120" s="375">
        <f>IFERROR(VLOOKUP(KMDM[[#This Row],[科目代码]],kl[#Data],2,FALSE),0)+KMDM[[#This Row],[年初数]]</f>
        <v>255634.4</v>
      </c>
    </row>
    <row r="121" ht="15" spans="1:11">
      <c r="A121">
        <v>540301</v>
      </c>
      <c r="B121" t="s">
        <v>165</v>
      </c>
      <c r="C121" s="366" t="s">
        <v>129</v>
      </c>
      <c r="D121">
        <v>1</v>
      </c>
      <c r="E121" s="371"/>
      <c r="F121" s="371"/>
      <c r="I121" s="361">
        <v>0</v>
      </c>
      <c r="J121" s="375" t="str">
        <f>KMDM[[#This Row],[科目代码]]&amp;"-"&amp;KMDM[[#This Row],[总账科目]]&amp;"-"&amp;KMDM[[#This Row],[明细科目]]</f>
        <v>540301-营业税金及附加-城市维护建设税</v>
      </c>
      <c r="K121" s="375">
        <f>IFERROR(VLOOKUP(KMDM[[#This Row],[科目代码]],kl[#Data],2,FALSE),0)+KMDM[[#This Row],[年初数]]</f>
        <v>1762.02</v>
      </c>
    </row>
    <row r="122" ht="15" spans="1:11">
      <c r="A122">
        <v>540302</v>
      </c>
      <c r="B122" t="s">
        <v>165</v>
      </c>
      <c r="C122" s="366" t="s">
        <v>130</v>
      </c>
      <c r="D122">
        <v>1</v>
      </c>
      <c r="E122" s="371"/>
      <c r="F122" s="371"/>
      <c r="I122" s="361">
        <v>0</v>
      </c>
      <c r="J122" s="375" t="str">
        <f>KMDM[[#This Row],[科目代码]]&amp;"-"&amp;KMDM[[#This Row],[总账科目]]&amp;"-"&amp;KMDM[[#This Row],[明细科目]]</f>
        <v>540302-营业税金及附加-教育费附加</v>
      </c>
      <c r="K122" s="375">
        <f>IFERROR(VLOOKUP(KMDM[[#This Row],[科目代码]],kl[#Data],2,FALSE),0)+KMDM[[#This Row],[年初数]]</f>
        <v>1258.59</v>
      </c>
    </row>
    <row r="123" ht="15" spans="1:11">
      <c r="A123">
        <v>540303</v>
      </c>
      <c r="B123" t="s">
        <v>165</v>
      </c>
      <c r="C123" s="366" t="s">
        <v>131</v>
      </c>
      <c r="D123">
        <v>1</v>
      </c>
      <c r="E123" s="371"/>
      <c r="F123" s="371"/>
      <c r="I123" s="361">
        <v>0</v>
      </c>
      <c r="J123" s="375" t="str">
        <f>KMDM[[#This Row],[科目代码]]&amp;"-"&amp;KMDM[[#This Row],[总账科目]]&amp;"-"&amp;KMDM[[#This Row],[明细科目]]</f>
        <v>540303-营业税金及附加-印花税</v>
      </c>
      <c r="K123" s="375">
        <f>IFERROR(VLOOKUP(KMDM[[#This Row],[科目代码]],kl[#Data],2,FALSE),0)+KMDM[[#This Row],[年初数]]</f>
        <v>292.8</v>
      </c>
    </row>
    <row r="124" ht="15" spans="1:13">
      <c r="A124">
        <v>540304</v>
      </c>
      <c r="B124" t="s">
        <v>165</v>
      </c>
      <c r="C124" s="366" t="s">
        <v>128</v>
      </c>
      <c r="D124">
        <v>1</v>
      </c>
      <c r="E124" s="371"/>
      <c r="F124" s="371"/>
      <c r="I124" s="361">
        <v>0</v>
      </c>
      <c r="J124" s="375" t="str">
        <f>KMDM[[#This Row],[科目代码]]&amp;"-"&amp;KMDM[[#This Row],[总账科目]]&amp;"-"&amp;KMDM[[#This Row],[明细科目]]</f>
        <v>540304-营业税金及附加-营业税</v>
      </c>
      <c r="K124" s="375">
        <f>IFERROR(VLOOKUP(KMDM[[#This Row],[科目代码]],kl[#Data],2,FALSE),0)+KMDM[[#This Row],[年初数]]</f>
        <v>18868.5</v>
      </c>
      <c r="M124" s="376" t="s">
        <v>149</v>
      </c>
    </row>
    <row r="125" ht="15" spans="1:13">
      <c r="A125">
        <v>560201</v>
      </c>
      <c r="B125" t="s">
        <v>166</v>
      </c>
      <c r="C125" s="366" t="s">
        <v>167</v>
      </c>
      <c r="D125">
        <v>1</v>
      </c>
      <c r="E125" s="371"/>
      <c r="F125" s="371"/>
      <c r="I125" s="361">
        <v>0</v>
      </c>
      <c r="J125" s="375" t="str">
        <f>KMDM[[#This Row],[科目代码]]&amp;"-"&amp;KMDM[[#This Row],[总账科目]]&amp;"-"&amp;KMDM[[#This Row],[明细科目]]</f>
        <v>560201-管理费用-工资</v>
      </c>
      <c r="K125" s="375">
        <f>IFERROR(VLOOKUP(KMDM[[#This Row],[科目代码]],kl[#Data],2,FALSE),0)+KMDM[[#This Row],[年初数]]</f>
        <v>163168.2</v>
      </c>
      <c r="M125" s="361">
        <f t="array" ref="M125">MAX(IF(KMDM[总账科目]=M124,KMDM[科目代码],))+1</f>
        <v>440110</v>
      </c>
    </row>
    <row r="126" ht="15" spans="1:11">
      <c r="A126">
        <v>560202</v>
      </c>
      <c r="B126" t="s">
        <v>166</v>
      </c>
      <c r="C126" s="366" t="s">
        <v>168</v>
      </c>
      <c r="D126">
        <v>1</v>
      </c>
      <c r="E126" s="371"/>
      <c r="F126" s="371"/>
      <c r="I126" s="361">
        <v>0</v>
      </c>
      <c r="J126" s="375" t="str">
        <f>KMDM[[#This Row],[科目代码]]&amp;"-"&amp;KMDM[[#This Row],[总账科目]]&amp;"-"&amp;KMDM[[#This Row],[明细科目]]</f>
        <v>560202-管理费用-折旧费</v>
      </c>
      <c r="K126" s="375">
        <f>IFERROR(VLOOKUP(KMDM[[#This Row],[科目代码]],kl[#Data],2,FALSE),0)+KMDM[[#This Row],[年初数]]</f>
        <v>5403.02</v>
      </c>
    </row>
    <row r="127" ht="15" spans="1:11">
      <c r="A127">
        <v>560203</v>
      </c>
      <c r="B127" t="s">
        <v>166</v>
      </c>
      <c r="C127" s="366" t="s">
        <v>169</v>
      </c>
      <c r="D127">
        <v>1</v>
      </c>
      <c r="E127" s="371"/>
      <c r="F127" s="371"/>
      <c r="I127" s="361">
        <v>0</v>
      </c>
      <c r="J127" s="375" t="str">
        <f>KMDM[[#This Row],[科目代码]]&amp;"-"&amp;KMDM[[#This Row],[总账科目]]&amp;"-"&amp;KMDM[[#This Row],[明细科目]]</f>
        <v>560203-管理费用-交通费</v>
      </c>
      <c r="K127" s="375">
        <f>IFERROR(VLOOKUP(KMDM[[#This Row],[科目代码]],kl[#Data],2,FALSE),0)+KMDM[[#This Row],[年初数]]</f>
        <v>14917.09</v>
      </c>
    </row>
    <row r="128" ht="15" spans="1:11">
      <c r="A128">
        <v>560204</v>
      </c>
      <c r="B128" t="s">
        <v>166</v>
      </c>
      <c r="C128" s="366" t="s">
        <v>170</v>
      </c>
      <c r="D128">
        <v>1</v>
      </c>
      <c r="E128" s="371"/>
      <c r="F128" s="371"/>
      <c r="I128" s="361">
        <v>0</v>
      </c>
      <c r="J128" s="375" t="str">
        <f>KMDM[[#This Row],[科目代码]]&amp;"-"&amp;KMDM[[#This Row],[总账科目]]&amp;"-"&amp;KMDM[[#This Row],[明细科目]]</f>
        <v>560204-管理费用-招待费</v>
      </c>
      <c r="K128" s="375">
        <f>IFERROR(VLOOKUP(KMDM[[#This Row],[科目代码]],kl[#Data],2,FALSE),0)+KMDM[[#This Row],[年初数]]</f>
        <v>5572</v>
      </c>
    </row>
    <row r="129" ht="15" spans="1:11">
      <c r="A129">
        <v>560205</v>
      </c>
      <c r="B129" t="s">
        <v>166</v>
      </c>
      <c r="C129" s="366" t="s">
        <v>171</v>
      </c>
      <c r="D129">
        <v>1</v>
      </c>
      <c r="E129" s="371"/>
      <c r="F129" s="371"/>
      <c r="I129" s="361">
        <v>0</v>
      </c>
      <c r="J129" s="375" t="str">
        <f>KMDM[[#This Row],[科目代码]]&amp;"-"&amp;KMDM[[#This Row],[总账科目]]&amp;"-"&amp;KMDM[[#This Row],[明细科目]]</f>
        <v>560205-管理费用-租赁费</v>
      </c>
      <c r="K129" s="375">
        <f>IFERROR(VLOOKUP(KMDM[[#This Row],[科目代码]],kl[#Data],2,FALSE),0)+KMDM[[#This Row],[年初数]]</f>
        <v>22213.74</v>
      </c>
    </row>
    <row r="130" ht="15" spans="1:11">
      <c r="A130">
        <v>560206</v>
      </c>
      <c r="B130" t="s">
        <v>166</v>
      </c>
      <c r="C130" s="366" t="s">
        <v>172</v>
      </c>
      <c r="D130">
        <v>1</v>
      </c>
      <c r="E130" s="371"/>
      <c r="F130" s="371"/>
      <c r="I130" s="361"/>
      <c r="J130" s="375" t="str">
        <f>KMDM[[#This Row],[科目代码]]&amp;"-"&amp;KMDM[[#This Row],[总账科目]]&amp;"-"&amp;KMDM[[#This Row],[明细科目]]</f>
        <v>560206-管理费用-其他费用</v>
      </c>
      <c r="K130" s="375">
        <f>IFERROR(VLOOKUP(KMDM[[#This Row],[科目代码]],kl[#Data],2,FALSE),0)+KMDM[[#This Row],[年初数]]</f>
        <v>120145.8</v>
      </c>
    </row>
    <row r="131" ht="15" spans="1:11">
      <c r="A131">
        <v>560207</v>
      </c>
      <c r="B131" t="s">
        <v>166</v>
      </c>
      <c r="C131" s="366" t="s">
        <v>173</v>
      </c>
      <c r="D131">
        <v>1</v>
      </c>
      <c r="E131" s="371"/>
      <c r="F131" s="371"/>
      <c r="I131" s="361"/>
      <c r="J131" s="375" t="str">
        <f>KMDM[[#This Row],[科目代码]]&amp;"-"&amp;KMDM[[#This Row],[总账科目]]&amp;"-"&amp;KMDM[[#This Row],[明细科目]]</f>
        <v>560207-管理费用-通信费</v>
      </c>
      <c r="K131" s="375">
        <f>IFERROR(VLOOKUP(KMDM[[#This Row],[科目代码]],kl[#Data],2,FALSE),0)+KMDM[[#This Row],[年初数]]</f>
        <v>4642</v>
      </c>
    </row>
    <row r="132" ht="15" spans="1:11">
      <c r="A132">
        <v>560208</v>
      </c>
      <c r="B132" t="s">
        <v>166</v>
      </c>
      <c r="C132" s="366" t="s">
        <v>174</v>
      </c>
      <c r="D132">
        <v>1</v>
      </c>
      <c r="E132" s="371"/>
      <c r="F132" s="371"/>
      <c r="I132" s="361"/>
      <c r="J132" s="375" t="str">
        <f>KMDM[[#This Row],[科目代码]]&amp;"-"&amp;KMDM[[#This Row],[总账科目]]&amp;"-"&amp;KMDM[[#This Row],[明细科目]]</f>
        <v>560208-管理费用-办公费</v>
      </c>
      <c r="K132" s="375">
        <f>IFERROR(VLOOKUP(KMDM[[#This Row],[科目代码]],kl[#Data],2,FALSE),0)+KMDM[[#This Row],[年初数]]</f>
        <v>1523.9</v>
      </c>
    </row>
    <row r="133" ht="15" spans="1:11">
      <c r="A133">
        <v>560209</v>
      </c>
      <c r="B133" t="s">
        <v>166</v>
      </c>
      <c r="C133" s="366" t="s">
        <v>175</v>
      </c>
      <c r="D133">
        <v>1</v>
      </c>
      <c r="E133" s="371"/>
      <c r="F133" s="371"/>
      <c r="I133" s="361"/>
      <c r="J133" s="375" t="str">
        <f>KMDM[[#This Row],[科目代码]]&amp;"-"&amp;KMDM[[#This Row],[总账科目]]&amp;"-"&amp;KMDM[[#This Row],[明细科目]]</f>
        <v>560209-管理费用-职工福利教育</v>
      </c>
      <c r="K133" s="375">
        <f>IFERROR(VLOOKUP(KMDM[[#This Row],[科目代码]],kl[#Data],2,FALSE),0)+KMDM[[#This Row],[年初数]]</f>
        <v>-42388.03</v>
      </c>
    </row>
    <row r="134" ht="15" spans="1:11">
      <c r="A134">
        <v>560210</v>
      </c>
      <c r="B134" t="s">
        <v>166</v>
      </c>
      <c r="C134" s="366" t="s">
        <v>176</v>
      </c>
      <c r="D134">
        <v>1</v>
      </c>
      <c r="E134" s="371"/>
      <c r="F134" s="371"/>
      <c r="I134" s="361"/>
      <c r="J134" s="375" t="str">
        <f>KMDM[[#This Row],[科目代码]]&amp;"-"&amp;KMDM[[#This Row],[总账科目]]&amp;"-"&amp;KMDM[[#This Row],[明细科目]]</f>
        <v>560210-管理费用-职工保险</v>
      </c>
      <c r="K134" s="375">
        <f>IFERROR(VLOOKUP(KMDM[[#This Row],[科目代码]],kl[#Data],2,FALSE),0)+KMDM[[#This Row],[年初数]]</f>
        <v>14163.08</v>
      </c>
    </row>
    <row r="135" ht="15" spans="1:11">
      <c r="A135">
        <v>560301</v>
      </c>
      <c r="B135" t="s">
        <v>177</v>
      </c>
      <c r="C135" s="366" t="s">
        <v>178</v>
      </c>
      <c r="D135">
        <v>1</v>
      </c>
      <c r="E135" s="371"/>
      <c r="F135" s="371"/>
      <c r="I135" s="361">
        <v>0</v>
      </c>
      <c r="J135" s="375" t="str">
        <f>KMDM[[#This Row],[科目代码]]&amp;"-"&amp;KMDM[[#This Row],[总账科目]]&amp;"-"&amp;KMDM[[#This Row],[明细科目]]</f>
        <v>560301-财务费用-交易费</v>
      </c>
      <c r="K135" s="375">
        <f>IFERROR(VLOOKUP(KMDM[[#This Row],[科目代码]],kl[#Data],2,FALSE),0)+KMDM[[#This Row],[年初数]]</f>
        <v>490.46</v>
      </c>
    </row>
    <row r="136" ht="15" spans="1:11">
      <c r="A136">
        <v>530101</v>
      </c>
      <c r="B136" t="s">
        <v>179</v>
      </c>
      <c r="C136" s="366" t="s">
        <v>180</v>
      </c>
      <c r="D136">
        <v>-1</v>
      </c>
      <c r="E136" s="371"/>
      <c r="F136" s="371"/>
      <c r="I136" s="361"/>
      <c r="J136" s="375" t="str">
        <f>KMDM[[#This Row],[科目代码]]&amp;"-"&amp;KMDM[[#This Row],[总账科目]]&amp;"-"&amp;KMDM[[#This Row],[明细科目]]</f>
        <v>530101-营业外收入-免税</v>
      </c>
      <c r="K136" s="375">
        <f>IFERROR(VLOOKUP(KMDM[[#This Row],[科目代码]],kl[#Data],2,FALSE),0)+KMDM[[#This Row],[年初数]]</f>
        <v>-1927.5</v>
      </c>
    </row>
    <row r="137" ht="15" spans="1:11">
      <c r="A137">
        <v>571101</v>
      </c>
      <c r="B137" t="s">
        <v>181</v>
      </c>
      <c r="C137" s="366" t="s">
        <v>182</v>
      </c>
      <c r="D137">
        <v>1</v>
      </c>
      <c r="E137" s="371"/>
      <c r="F137" s="371"/>
      <c r="I137" s="361"/>
      <c r="J137" s="375" t="str">
        <f>KMDM[[#This Row],[科目代码]]&amp;"-"&amp;KMDM[[#This Row],[总账科目]]&amp;"-"&amp;KMDM[[#This Row],[明细科目]]</f>
        <v>571101-营业外支出-罚款</v>
      </c>
      <c r="K137" s="375">
        <f>IFERROR(VLOOKUP(KMDM[[#This Row],[科目代码]],kl[#Data],2,FALSE),0)+KMDM[[#This Row],[年初数]]</f>
        <v>36.45</v>
      </c>
    </row>
    <row r="138" ht="15" spans="1:11">
      <c r="A138">
        <v>580101</v>
      </c>
      <c r="B138" t="s">
        <v>183</v>
      </c>
      <c r="C138" s="366" t="s">
        <v>184</v>
      </c>
      <c r="D138">
        <v>1</v>
      </c>
      <c r="E138" s="371"/>
      <c r="F138" s="371"/>
      <c r="I138" s="361">
        <v>0</v>
      </c>
      <c r="J138" s="375" t="str">
        <f>KMDM[[#This Row],[科目代码]]&amp;"-"&amp;KMDM[[#This Row],[总账科目]]&amp;"-"&amp;KMDM[[#This Row],[明细科目]]</f>
        <v>580101-所得税费用-销售</v>
      </c>
      <c r="K138" s="375">
        <f>IFERROR(VLOOKUP(KMDM[[#This Row],[科目代码]],kl[#Data],2,FALSE),0)+KMDM[[#This Row],[年初数]]</f>
        <v>3048</v>
      </c>
    </row>
    <row r="141" spans="5:5">
      <c r="E141" s="365"/>
    </row>
    <row r="142" spans="5:5">
      <c r="E142" s="365"/>
    </row>
    <row r="143" spans="5:5">
      <c r="E143" s="365"/>
    </row>
    <row r="144" spans="5:5">
      <c r="E144" s="365"/>
    </row>
    <row r="145" spans="5:5">
      <c r="E145" s="365"/>
    </row>
    <row r="146" spans="5:5">
      <c r="E146" s="365"/>
    </row>
    <row r="147" spans="5:5">
      <c r="E147" s="365"/>
    </row>
    <row r="148" spans="5:5">
      <c r="E148" s="365"/>
    </row>
  </sheetData>
  <pageMargins left="0.699305555555556" right="0.699305555555556" top="0.75" bottom="0.75" header="0.3" footer="0.3"/>
  <pageSetup paperSize="9" orientation="portrait" horizontalDpi="200" verticalDpi="300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tabColor rgb="FFFF0000"/>
  </sheetPr>
  <dimension ref="A1:P26"/>
  <sheetViews>
    <sheetView workbookViewId="0">
      <selection activeCell="E3" sqref="E3"/>
    </sheetView>
  </sheetViews>
  <sheetFormatPr defaultColWidth="9" defaultRowHeight="15"/>
  <cols>
    <col min="1" max="1" width="4.62857142857143" style="286" customWidth="1"/>
    <col min="2" max="2" width="6.75238095238095" style="286" customWidth="1"/>
    <col min="3" max="3" width="22.3714285714286" style="286" customWidth="1"/>
    <col min="4" max="4" width="12.1238095238095" style="286" customWidth="1"/>
    <col min="5" max="5" width="19.1238095238095" style="286" customWidth="1"/>
    <col min="6" max="6" width="5.87619047619048" style="286" hidden="1" customWidth="1"/>
    <col min="7" max="7" width="5.24761904761905" style="286" hidden="1" customWidth="1"/>
    <col min="8" max="8" width="18.1238095238095" style="286" customWidth="1"/>
    <col min="9" max="9" width="16.1238095238095" style="286" customWidth="1"/>
    <col min="10" max="10" width="4.12380952380952" style="287" customWidth="1"/>
    <col min="11" max="11" width="4.5047619047619" style="288" customWidth="1"/>
    <col min="12" max="16384" width="9" style="286"/>
  </cols>
  <sheetData>
    <row r="1" ht="19.5" customHeight="1" spans="2:11">
      <c r="B1" s="289" t="s">
        <v>185</v>
      </c>
      <c r="C1" s="290" t="s">
        <v>186</v>
      </c>
      <c r="D1" s="290" t="s">
        <v>187</v>
      </c>
      <c r="E1" s="290" t="s">
        <v>188</v>
      </c>
      <c r="F1" s="291"/>
      <c r="G1" s="291"/>
      <c r="H1" s="291"/>
      <c r="I1" s="294"/>
      <c r="J1" s="344"/>
      <c r="K1" s="345"/>
    </row>
    <row r="2" ht="19.5" customHeight="1" spans="2:11">
      <c r="B2" s="290">
        <f>单位信息!B2</f>
        <v>2014</v>
      </c>
      <c r="C2" s="290">
        <v>5</v>
      </c>
      <c r="D2" s="290">
        <v>30</v>
      </c>
      <c r="E2" s="290">
        <v>6</v>
      </c>
      <c r="F2" s="292"/>
      <c r="G2" s="293"/>
      <c r="H2" s="291"/>
      <c r="I2" s="293"/>
      <c r="J2" s="344"/>
      <c r="K2" s="345"/>
    </row>
    <row r="3" ht="20.25" customHeight="1" spans="2:10">
      <c r="B3" s="294"/>
      <c r="C3" s="295" t="s">
        <v>189</v>
      </c>
      <c r="D3" s="295"/>
      <c r="E3" s="296">
        <f t="array" ref="E3">MAX(IF(C2=PP[月],PP[凭证号],0))+1</f>
        <v>24</v>
      </c>
      <c r="F3" s="297"/>
      <c r="G3" s="293"/>
      <c r="H3" s="291"/>
      <c r="I3" s="294"/>
      <c r="J3" s="344"/>
    </row>
    <row r="4" ht="27" customHeight="1" spans="2:10">
      <c r="B4" s="298"/>
      <c r="C4" s="299" t="s">
        <v>190</v>
      </c>
      <c r="D4" s="299"/>
      <c r="E4" s="299"/>
      <c r="F4" s="299"/>
      <c r="G4" s="299"/>
      <c r="H4" s="299"/>
      <c r="I4" s="299"/>
      <c r="J4" s="346"/>
    </row>
    <row r="5" s="285" customFormat="1" ht="20.25" customHeight="1" spans="1:11">
      <c r="A5" s="300"/>
      <c r="B5" s="301" t="str">
        <f>"编制单位："&amp;单位信息!B6</f>
        <v>编制单位：华军公司</v>
      </c>
      <c r="C5" s="301"/>
      <c r="D5" s="302" t="s">
        <v>191</v>
      </c>
      <c r="E5" s="303" t="str">
        <f>B2&amp;"-"&amp;C2&amp;"-"&amp;D2</f>
        <v>2014-5-30</v>
      </c>
      <c r="F5" s="304"/>
      <c r="G5" s="304"/>
      <c r="H5" s="305"/>
      <c r="I5" s="347" t="str">
        <f>"凭证: "&amp;E2&amp;"  号"</f>
        <v>凭证: 6  号</v>
      </c>
      <c r="J5" s="348"/>
      <c r="K5" s="349"/>
    </row>
    <row r="6" s="282" customFormat="1" ht="20.25" hidden="1" customHeight="1" spans="2:11">
      <c r="B6" s="306"/>
      <c r="C6" s="307"/>
      <c r="D6" s="308"/>
      <c r="E6" s="308"/>
      <c r="F6" s="309"/>
      <c r="G6" s="310"/>
      <c r="H6" s="311">
        <v>0</v>
      </c>
      <c r="I6" s="350">
        <v>0</v>
      </c>
      <c r="J6" s="351"/>
      <c r="K6" s="352"/>
    </row>
    <row r="7" s="282" customFormat="1" ht="25.5" customHeight="1" spans="1:13">
      <c r="A7" s="312"/>
      <c r="B7" s="313" t="s">
        <v>192</v>
      </c>
      <c r="C7" s="314" t="s">
        <v>193</v>
      </c>
      <c r="D7" s="314" t="s">
        <v>194</v>
      </c>
      <c r="E7" s="315" t="s">
        <v>37</v>
      </c>
      <c r="F7" s="316" t="s">
        <v>195</v>
      </c>
      <c r="G7" s="317" t="s">
        <v>196</v>
      </c>
      <c r="H7" s="318" t="s">
        <v>197</v>
      </c>
      <c r="I7" s="353" t="s">
        <v>198</v>
      </c>
      <c r="J7" s="351"/>
      <c r="K7" s="352"/>
      <c r="M7" s="312"/>
    </row>
    <row r="8" ht="22.5" customHeight="1" spans="1:11">
      <c r="A8" s="298"/>
      <c r="B8" s="319">
        <v>560301</v>
      </c>
      <c r="C8" s="320" t="s">
        <v>178</v>
      </c>
      <c r="D8" s="321" t="s">
        <v>177</v>
      </c>
      <c r="E8" s="322" t="s">
        <v>199</v>
      </c>
      <c r="F8" s="323"/>
      <c r="G8" s="324"/>
      <c r="H8" s="325">
        <v>1</v>
      </c>
      <c r="I8" s="339">
        <v>0</v>
      </c>
      <c r="K8" s="354"/>
    </row>
    <row r="9" ht="22.5" customHeight="1" spans="1:11">
      <c r="A9" s="298"/>
      <c r="B9" s="319">
        <v>100201</v>
      </c>
      <c r="C9" s="320" t="s">
        <v>200</v>
      </c>
      <c r="D9" s="326" t="s">
        <v>47</v>
      </c>
      <c r="E9" s="327" t="s">
        <v>48</v>
      </c>
      <c r="F9" s="328"/>
      <c r="G9" s="329"/>
      <c r="H9" s="325">
        <v>0</v>
      </c>
      <c r="I9" s="339">
        <v>1</v>
      </c>
      <c r="J9" s="346" t="s">
        <v>201</v>
      </c>
      <c r="K9" s="354"/>
    </row>
    <row r="10" ht="22.5" customHeight="1" spans="1:11">
      <c r="A10" s="298"/>
      <c r="B10" s="319"/>
      <c r="C10" s="320"/>
      <c r="D10" s="321"/>
      <c r="E10" s="322"/>
      <c r="F10" s="323"/>
      <c r="G10" s="324"/>
      <c r="H10" s="325"/>
      <c r="I10" s="325"/>
      <c r="J10" s="346" t="s">
        <v>202</v>
      </c>
      <c r="K10" s="352"/>
    </row>
    <row r="11" ht="22.5" customHeight="1" spans="1:11">
      <c r="A11" s="298"/>
      <c r="B11" s="319"/>
      <c r="C11" s="320"/>
      <c r="D11" s="321"/>
      <c r="E11" s="322"/>
      <c r="F11" s="323"/>
      <c r="G11" s="324"/>
      <c r="H11" s="325"/>
      <c r="I11" s="325"/>
      <c r="J11" s="355">
        <v>1</v>
      </c>
      <c r="K11" s="354"/>
    </row>
    <row r="12" ht="22.5" customHeight="1" spans="1:16">
      <c r="A12" s="298"/>
      <c r="B12" s="319"/>
      <c r="C12" s="320"/>
      <c r="D12" s="321"/>
      <c r="E12" s="322"/>
      <c r="F12" s="323"/>
      <c r="G12" s="324"/>
      <c r="H12" s="325"/>
      <c r="I12" s="325"/>
      <c r="J12" s="346" t="s">
        <v>203</v>
      </c>
      <c r="K12" s="354"/>
      <c r="P12" s="356"/>
    </row>
    <row r="13" ht="22.5" customHeight="1" spans="1:11">
      <c r="A13" s="298"/>
      <c r="B13" s="319"/>
      <c r="C13" s="330"/>
      <c r="D13" s="321"/>
      <c r="E13" s="322"/>
      <c r="F13" s="323"/>
      <c r="G13" s="324"/>
      <c r="H13" s="325"/>
      <c r="I13" s="325"/>
      <c r="K13" s="354"/>
    </row>
    <row r="14" ht="21" hidden="1" customHeight="1" spans="1:11">
      <c r="A14" s="298"/>
      <c r="B14" s="331"/>
      <c r="C14" s="332"/>
      <c r="D14" s="333"/>
      <c r="E14" s="334"/>
      <c r="F14" s="323"/>
      <c r="G14" s="324"/>
      <c r="H14" s="325"/>
      <c r="I14" s="325"/>
      <c r="K14" s="354"/>
    </row>
    <row r="15" ht="24.75" customHeight="1" spans="1:11">
      <c r="A15" s="298"/>
      <c r="B15" s="335"/>
      <c r="C15" s="336" t="s">
        <v>204</v>
      </c>
      <c r="D15" s="337" t="s">
        <v>205</v>
      </c>
      <c r="E15" s="337"/>
      <c r="F15" s="338"/>
      <c r="G15" s="329"/>
      <c r="H15" s="339">
        <f>SUM(H8:H14)</f>
        <v>1</v>
      </c>
      <c r="I15" s="339">
        <f>SUM(I8:I14)</f>
        <v>1</v>
      </c>
      <c r="K15" s="354"/>
    </row>
    <row r="16" ht="18.75" customHeight="1" spans="2:11">
      <c r="B16" s="298"/>
      <c r="C16" s="340" t="str">
        <f>"会计主管:"&amp;单位信息!B9</f>
        <v>会计主管:华巍</v>
      </c>
      <c r="D16" s="341" t="str">
        <f>"审核:"&amp;单位信息!B9</f>
        <v>审核:华巍</v>
      </c>
      <c r="E16" s="341"/>
      <c r="F16" s="341"/>
      <c r="G16" s="340"/>
      <c r="H16" s="340" t="str">
        <f>"制单:"&amp;单位信息!B8</f>
        <v>制单:张新暖</v>
      </c>
      <c r="I16" s="357"/>
      <c r="K16" s="358"/>
    </row>
    <row r="17" ht="28.5" customHeight="1" spans="2:10">
      <c r="B17" s="342"/>
      <c r="C17" s="342"/>
      <c r="D17" s="342"/>
      <c r="E17" s="342"/>
      <c r="F17" s="342"/>
      <c r="G17" s="342"/>
      <c r="H17" s="343"/>
      <c r="I17" s="342"/>
      <c r="J17" s="261"/>
    </row>
    <row r="18" spans="9:9">
      <c r="I18" s="359"/>
    </row>
    <row r="21" spans="3:3">
      <c r="C21" s="298"/>
    </row>
    <row r="23" spans="9:9">
      <c r="I23" s="298"/>
    </row>
    <row r="26" spans="4:4">
      <c r="D26" s="298"/>
    </row>
  </sheetData>
  <mergeCells count="5">
    <mergeCell ref="C3:D3"/>
    <mergeCell ref="C4:I4"/>
    <mergeCell ref="B5:C5"/>
    <mergeCell ref="D15:E15"/>
    <mergeCell ref="D16:F16"/>
  </mergeCells>
  <conditionalFormatting sqref="H15:I15">
    <cfRule type="expression" dxfId="11" priority="1">
      <formula>$H$15&lt;&gt;$I$15</formula>
    </cfRule>
  </conditionalFormatting>
  <conditionalFormatting sqref="I15">
    <cfRule type="expression" dxfId="11" priority="5">
      <formula>"h15=i15"</formula>
    </cfRule>
  </conditionalFormatting>
  <conditionalFormatting sqref="H2:H3 I2">
    <cfRule type="expression" dxfId="11" priority="7">
      <formula>$I$2&gt;$H$2</formula>
    </cfRule>
  </conditionalFormatting>
  <pageMargins left="1.33819444444444" right="0.314583333333333" top="3.73958333333333" bottom="0.747916666666667" header="0.314583333333333" footer="0.314583333333333"/>
  <pageSetup paperSize="9" orientation="landscape" horizontalDpi="180" verticalDpi="180"/>
  <headerFooter/>
  <drawing r:id="rId1"/>
  <legacyDrawing r:id="rId2"/>
  <controls>
    <mc:AlternateContent xmlns:mc="http://schemas.openxmlformats.org/markup-compatibility/2006">
      <mc:Choice Requires="x14">
        <control shapeId="23560" r:id="rId3">
          <controlPr defaultSize="0" r:id="rId4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23560" r:id="rId3"/>
      </mc:Fallback>
    </mc:AlternateContent>
    <mc:AlternateContent xmlns:mc="http://schemas.openxmlformats.org/markup-compatibility/2006">
      <mc:Choice Requires="x14">
        <control shapeId="23561" r:id="rId5">
          <controlPr defaultSize="0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4</xdr:col>
                <xdr:colOff>542925</xdr:colOff>
                <xdr:row>20</xdr:row>
                <xdr:rowOff>0</xdr:rowOff>
              </to>
            </anchor>
          </controlPr>
        </control>
      </mc:Choice>
      <mc:Fallback>
        <control shapeId="23561" r:id="rId5"/>
      </mc:Fallback>
    </mc:AlternateContent>
    <mc:AlternateContent xmlns:mc="http://schemas.openxmlformats.org/markup-compatibility/2006">
      <mc:Choice Requires="x14">
        <control shapeId="23553" name="Spinner 1" r:id="rId7">
          <controlPr defaultSize="0">
            <anchor moveWithCells="1" sizeWithCells="1">
              <from>
                <xdr:col>7</xdr:col>
                <xdr:colOff>19050</xdr:colOff>
                <xdr:row>0</xdr:row>
                <xdr:rowOff>247650</xdr:rowOff>
              </from>
              <to>
                <xdr:col>7</xdr:col>
                <xdr:colOff>247650</xdr:colOff>
                <xdr:row>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555" name="Button 3" r:id="rId8">
          <controlPr print="0" defaultSize="0">
            <anchor moveWithCells="1">
              <from>
                <xdr:col>7</xdr:col>
                <xdr:colOff>647700</xdr:colOff>
                <xdr:row>1</xdr:row>
                <xdr:rowOff>171450</xdr:rowOff>
              </from>
              <to>
                <xdr:col>8</xdr:col>
                <xdr:colOff>619125</xdr:colOff>
                <xdr:row>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556" name="Button 4" r:id="rId9">
          <controlPr print="0" defaultSize="0">
            <anchor moveWithCells="1">
              <from>
                <xdr:col>1</xdr:col>
                <xdr:colOff>450215</xdr:colOff>
                <xdr:row>16</xdr:row>
                <xdr:rowOff>66675</xdr:rowOff>
              </from>
              <to>
                <xdr:col>2</xdr:col>
                <xdr:colOff>714375</xdr:colOff>
                <xdr:row>16</xdr:row>
                <xdr:rowOff>333375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557" name="Button 5" r:id="rId10">
          <controlPr print="0" defaultSize="0">
            <anchor moveWithCells="1">
              <from>
                <xdr:col>4</xdr:col>
                <xdr:colOff>57150</xdr:colOff>
                <xdr:row>16</xdr:row>
                <xdr:rowOff>57150</xdr:rowOff>
              </from>
              <to>
                <xdr:col>7</xdr:col>
                <xdr:colOff>76200</xdr:colOff>
                <xdr:row>16</xdr:row>
                <xdr:rowOff>333375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559" name="Button 7" r:id="rId11">
          <controlPr print="0" defaultSize="0">
            <anchor moveWithCells="1" sizeWithCells="1">
              <from>
                <xdr:col>8</xdr:col>
                <xdr:colOff>266700</xdr:colOff>
                <xdr:row>16</xdr:row>
                <xdr:rowOff>66675</xdr:rowOff>
              </from>
              <to>
                <xdr:col>8</xdr:col>
                <xdr:colOff>981075</xdr:colOff>
                <xdr:row>16</xdr:row>
                <xdr:rowOff>323850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562" name="Button 10" r:id="rId12">
          <controlPr print="0" defaultSize="0">
            <anchor moveWithCells="1">
              <from>
                <xdr:col>7</xdr:col>
                <xdr:colOff>647700</xdr:colOff>
                <xdr:row>0</xdr:row>
                <xdr:rowOff>38100</xdr:rowOff>
              </from>
              <to>
                <xdr:col>8</xdr:col>
                <xdr:colOff>609600</xdr:colOff>
                <xdr:row>1</xdr:row>
                <xdr:rowOff>66675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tabColor rgb="FF00B050"/>
    <pageSetUpPr autoPageBreaks="0"/>
  </sheetPr>
  <dimension ref="A1:O1400"/>
  <sheetViews>
    <sheetView tabSelected="1" workbookViewId="0">
      <selection activeCell="I21" sqref="I21"/>
    </sheetView>
  </sheetViews>
  <sheetFormatPr defaultColWidth="9" defaultRowHeight="15"/>
  <cols>
    <col min="1" max="1" width="7.62857142857143" style="26" customWidth="1"/>
    <col min="2" max="2" width="20" style="26" customWidth="1"/>
    <col min="3" max="3" width="11.8761904761905" style="26" customWidth="1"/>
    <col min="4" max="4" width="17.6285714285714" style="26" customWidth="1"/>
    <col min="5" max="5" width="3.87619047619048" style="26" customWidth="1"/>
    <col min="6" max="6" width="5.37142857142857" style="26" customWidth="1"/>
    <col min="7" max="7" width="10" style="26" customWidth="1"/>
    <col min="8" max="8" width="6.87619047619048" style="26" customWidth="1"/>
    <col min="9" max="9" width="5.87619047619048" style="26" customWidth="1"/>
    <col min="10" max="10" width="5.75238095238095" style="36" customWidth="1"/>
    <col min="11" max="11" width="6.24761904761905" style="34" customWidth="1"/>
    <col min="12" max="12" width="3.62857142857143" style="26" customWidth="1"/>
    <col min="13" max="13" width="4.37142857142857" style="26" customWidth="1"/>
    <col min="14" max="14" width="3" customWidth="1"/>
  </cols>
  <sheetData>
    <row r="1" s="118" customFormat="1" customHeight="1" spans="1:15">
      <c r="A1" s="21" t="s">
        <v>35</v>
      </c>
      <c r="B1" s="24" t="s">
        <v>206</v>
      </c>
      <c r="C1" s="24" t="s">
        <v>36</v>
      </c>
      <c r="D1" s="25" t="s">
        <v>37</v>
      </c>
      <c r="E1" s="24" t="s">
        <v>41</v>
      </c>
      <c r="F1" s="24" t="s">
        <v>42</v>
      </c>
      <c r="G1" s="24" t="s">
        <v>207</v>
      </c>
      <c r="H1" s="24" t="s">
        <v>208</v>
      </c>
      <c r="I1" s="33" t="s">
        <v>188</v>
      </c>
      <c r="J1" s="35" t="s">
        <v>209</v>
      </c>
      <c r="K1" s="34" t="s">
        <v>185</v>
      </c>
      <c r="L1" s="35" t="s">
        <v>186</v>
      </c>
      <c r="M1" s="35" t="s">
        <v>187</v>
      </c>
      <c r="N1" s="36" t="s">
        <v>210</v>
      </c>
      <c r="O1" s="26"/>
    </row>
    <row r="2" ht="15.75" spans="1:14">
      <c r="A2" s="26">
        <v>100201</v>
      </c>
      <c r="B2" s="27" t="s">
        <v>211</v>
      </c>
      <c r="C2" s="26" t="s">
        <v>47</v>
      </c>
      <c r="D2" s="27" t="s">
        <v>48</v>
      </c>
      <c r="G2" s="28">
        <v>52010</v>
      </c>
      <c r="H2" s="26">
        <v>0</v>
      </c>
      <c r="I2" s="26">
        <v>1</v>
      </c>
      <c r="J2" s="36">
        <v>1</v>
      </c>
      <c r="K2" s="34">
        <v>2014</v>
      </c>
      <c r="L2" s="34">
        <v>1</v>
      </c>
      <c r="M2" s="34">
        <v>17</v>
      </c>
      <c r="N2" s="26"/>
    </row>
    <row r="3" spans="1:14">
      <c r="A3" s="37">
        <v>112203</v>
      </c>
      <c r="B3" s="27" t="s">
        <v>211</v>
      </c>
      <c r="C3" s="37" t="s">
        <v>49</v>
      </c>
      <c r="D3" s="38" t="s">
        <v>52</v>
      </c>
      <c r="E3" s="37"/>
      <c r="F3" s="37"/>
      <c r="G3" s="39">
        <v>0</v>
      </c>
      <c r="H3" s="37">
        <v>52010</v>
      </c>
      <c r="I3" s="37">
        <v>1</v>
      </c>
      <c r="J3" s="284">
        <v>1</v>
      </c>
      <c r="K3" s="40">
        <v>2014</v>
      </c>
      <c r="L3" s="40">
        <v>1</v>
      </c>
      <c r="M3" s="40">
        <v>17</v>
      </c>
      <c r="N3" s="37"/>
    </row>
    <row r="4" spans="1:14">
      <c r="A4" s="26">
        <v>560206</v>
      </c>
      <c r="B4" s="27" t="s">
        <v>212</v>
      </c>
      <c r="C4" s="26" t="s">
        <v>166</v>
      </c>
      <c r="D4" s="27" t="s">
        <v>172</v>
      </c>
      <c r="G4" s="28">
        <v>1050</v>
      </c>
      <c r="H4" s="26">
        <v>0</v>
      </c>
      <c r="I4" s="26">
        <v>2</v>
      </c>
      <c r="J4" s="36">
        <v>2</v>
      </c>
      <c r="K4" s="34">
        <v>2014</v>
      </c>
      <c r="L4" s="34">
        <v>1</v>
      </c>
      <c r="M4" s="34">
        <v>17</v>
      </c>
      <c r="N4" s="26"/>
    </row>
    <row r="5" spans="1:14">
      <c r="A5" s="37">
        <v>100101</v>
      </c>
      <c r="B5" s="27" t="s">
        <v>213</v>
      </c>
      <c r="C5" s="37" t="s">
        <v>46</v>
      </c>
      <c r="D5" s="38" t="s">
        <v>199</v>
      </c>
      <c r="E5" s="37"/>
      <c r="F5" s="37"/>
      <c r="G5" s="39">
        <v>0</v>
      </c>
      <c r="H5" s="37">
        <v>700</v>
      </c>
      <c r="I5" s="37">
        <v>2</v>
      </c>
      <c r="J5" s="284">
        <v>2</v>
      </c>
      <c r="K5" s="40">
        <v>2014</v>
      </c>
      <c r="L5" s="40">
        <v>1</v>
      </c>
      <c r="M5" s="40">
        <v>17</v>
      </c>
      <c r="N5" s="37"/>
    </row>
    <row r="6" spans="1:14">
      <c r="A6" s="26">
        <v>224101</v>
      </c>
      <c r="B6" s="27" t="s">
        <v>214</v>
      </c>
      <c r="C6" s="26" t="s">
        <v>140</v>
      </c>
      <c r="D6" s="27" t="s">
        <v>12</v>
      </c>
      <c r="G6" s="28">
        <v>0</v>
      </c>
      <c r="H6" s="26">
        <v>350</v>
      </c>
      <c r="I6" s="26">
        <v>2</v>
      </c>
      <c r="J6" s="36">
        <v>2</v>
      </c>
      <c r="K6" s="34">
        <v>2014</v>
      </c>
      <c r="L6" s="34">
        <v>1</v>
      </c>
      <c r="M6" s="34">
        <v>17</v>
      </c>
      <c r="N6" s="26"/>
    </row>
    <row r="7" spans="1:14">
      <c r="A7" s="37">
        <v>100201</v>
      </c>
      <c r="B7" s="38" t="s">
        <v>215</v>
      </c>
      <c r="C7" s="37" t="s">
        <v>47</v>
      </c>
      <c r="D7" s="38" t="s">
        <v>48</v>
      </c>
      <c r="E7" s="37"/>
      <c r="F7" s="37"/>
      <c r="G7" s="39">
        <v>0</v>
      </c>
      <c r="H7" s="37">
        <v>4505</v>
      </c>
      <c r="I7" s="37">
        <v>3</v>
      </c>
      <c r="J7" s="284">
        <v>3</v>
      </c>
      <c r="K7" s="40">
        <v>2014</v>
      </c>
      <c r="L7" s="40">
        <v>1</v>
      </c>
      <c r="M7" s="40">
        <v>17</v>
      </c>
      <c r="N7" s="37"/>
    </row>
    <row r="8" spans="1:14">
      <c r="A8" s="26">
        <v>221103</v>
      </c>
      <c r="B8" s="27" t="s">
        <v>216</v>
      </c>
      <c r="C8" s="26" t="s">
        <v>113</v>
      </c>
      <c r="D8" s="27" t="s">
        <v>116</v>
      </c>
      <c r="G8" s="28">
        <v>165</v>
      </c>
      <c r="H8" s="26">
        <v>0</v>
      </c>
      <c r="I8" s="26">
        <v>3</v>
      </c>
      <c r="J8" s="36">
        <v>3</v>
      </c>
      <c r="K8" s="34">
        <v>2014</v>
      </c>
      <c r="L8" s="34">
        <v>1</v>
      </c>
      <c r="M8" s="34">
        <v>17</v>
      </c>
      <c r="N8" s="26"/>
    </row>
    <row r="9" spans="1:14">
      <c r="A9" s="37">
        <v>560206</v>
      </c>
      <c r="B9" s="38" t="s">
        <v>217</v>
      </c>
      <c r="C9" s="37" t="s">
        <v>166</v>
      </c>
      <c r="D9" s="38" t="s">
        <v>172</v>
      </c>
      <c r="E9" s="37"/>
      <c r="F9" s="37"/>
      <c r="G9" s="39">
        <v>3709.4</v>
      </c>
      <c r="H9" s="37">
        <v>0</v>
      </c>
      <c r="I9" s="37">
        <v>3</v>
      </c>
      <c r="J9" s="284">
        <v>3</v>
      </c>
      <c r="K9" s="40">
        <v>2014</v>
      </c>
      <c r="L9" s="40">
        <v>1</v>
      </c>
      <c r="M9" s="40">
        <v>17</v>
      </c>
      <c r="N9" s="37"/>
    </row>
    <row r="10" spans="1:14">
      <c r="A10" s="26">
        <v>222121</v>
      </c>
      <c r="B10" s="38" t="s">
        <v>217</v>
      </c>
      <c r="C10" s="26" t="s">
        <v>126</v>
      </c>
      <c r="D10" s="27" t="s">
        <v>133</v>
      </c>
      <c r="G10" s="28">
        <v>630.6</v>
      </c>
      <c r="H10" s="26">
        <v>0</v>
      </c>
      <c r="I10" s="26">
        <v>3</v>
      </c>
      <c r="J10" s="36">
        <v>3</v>
      </c>
      <c r="K10" s="34">
        <v>2014</v>
      </c>
      <c r="L10" s="34">
        <v>1</v>
      </c>
      <c r="M10" s="34">
        <v>17</v>
      </c>
      <c r="N10" s="26"/>
    </row>
    <row r="11" spans="1:14">
      <c r="A11" s="37">
        <v>112304</v>
      </c>
      <c r="B11" s="38" t="s">
        <v>218</v>
      </c>
      <c r="C11" s="37" t="s">
        <v>64</v>
      </c>
      <c r="D11" s="38" t="s">
        <v>68</v>
      </c>
      <c r="E11" s="37"/>
      <c r="F11" s="37"/>
      <c r="G11" s="39">
        <v>9500</v>
      </c>
      <c r="H11" s="37">
        <v>0</v>
      </c>
      <c r="I11" s="37">
        <v>4</v>
      </c>
      <c r="J11" s="284">
        <v>2</v>
      </c>
      <c r="K11" s="40">
        <v>2014</v>
      </c>
      <c r="L11" s="40">
        <v>1</v>
      </c>
      <c r="M11" s="40">
        <v>17</v>
      </c>
      <c r="N11" s="37"/>
    </row>
    <row r="12" spans="1:14">
      <c r="A12" s="26">
        <v>100201</v>
      </c>
      <c r="B12" s="27" t="s">
        <v>218</v>
      </c>
      <c r="C12" s="26" t="s">
        <v>47</v>
      </c>
      <c r="D12" s="27" t="s">
        <v>48</v>
      </c>
      <c r="G12" s="28">
        <v>0</v>
      </c>
      <c r="H12" s="26">
        <v>9500</v>
      </c>
      <c r="I12" s="26">
        <v>4</v>
      </c>
      <c r="J12" s="36">
        <v>2</v>
      </c>
      <c r="K12" s="34">
        <v>2014</v>
      </c>
      <c r="L12" s="34">
        <v>1</v>
      </c>
      <c r="M12" s="34">
        <v>17</v>
      </c>
      <c r="N12" s="26"/>
    </row>
    <row r="13" spans="1:14">
      <c r="A13" s="37">
        <v>100201</v>
      </c>
      <c r="B13" s="38" t="s">
        <v>219</v>
      </c>
      <c r="C13" s="37" t="s">
        <v>47</v>
      </c>
      <c r="D13" s="38" t="s">
        <v>48</v>
      </c>
      <c r="E13" s="37"/>
      <c r="F13" s="37"/>
      <c r="G13" s="39">
        <v>0</v>
      </c>
      <c r="H13" s="37">
        <v>1</v>
      </c>
      <c r="I13" s="37">
        <v>5</v>
      </c>
      <c r="J13" s="284">
        <v>6</v>
      </c>
      <c r="K13" s="40">
        <v>2014</v>
      </c>
      <c r="L13" s="40">
        <v>1</v>
      </c>
      <c r="M13" s="40">
        <v>17</v>
      </c>
      <c r="N13" s="37"/>
    </row>
    <row r="14" spans="1:14">
      <c r="A14" s="26">
        <v>100201</v>
      </c>
      <c r="B14" s="27" t="s">
        <v>220</v>
      </c>
      <c r="C14" s="26" t="s">
        <v>47</v>
      </c>
      <c r="D14" s="27" t="s">
        <v>48</v>
      </c>
      <c r="G14" s="28">
        <v>0</v>
      </c>
      <c r="H14" s="26">
        <v>1</v>
      </c>
      <c r="I14" s="26">
        <v>5</v>
      </c>
      <c r="J14" s="36">
        <v>6</v>
      </c>
      <c r="K14" s="34">
        <v>2014</v>
      </c>
      <c r="L14" s="34">
        <v>1</v>
      </c>
      <c r="M14" s="34">
        <v>17</v>
      </c>
      <c r="N14" s="26"/>
    </row>
    <row r="15" spans="1:14">
      <c r="A15" s="37">
        <v>100201</v>
      </c>
      <c r="B15" s="38" t="s">
        <v>221</v>
      </c>
      <c r="C15" s="37" t="s">
        <v>47</v>
      </c>
      <c r="D15" s="38" t="s">
        <v>48</v>
      </c>
      <c r="E15" s="37"/>
      <c r="F15" s="37"/>
      <c r="G15" s="39">
        <v>0</v>
      </c>
      <c r="H15" s="37">
        <v>10.5</v>
      </c>
      <c r="I15" s="37">
        <v>5</v>
      </c>
      <c r="J15" s="284">
        <v>6</v>
      </c>
      <c r="K15" s="40">
        <v>2014</v>
      </c>
      <c r="L15" s="40">
        <v>1</v>
      </c>
      <c r="M15" s="40">
        <v>17</v>
      </c>
      <c r="N15" s="37"/>
    </row>
    <row r="16" spans="1:14">
      <c r="A16" s="26">
        <v>100201</v>
      </c>
      <c r="B16" s="27" t="s">
        <v>222</v>
      </c>
      <c r="C16" s="26" t="s">
        <v>47</v>
      </c>
      <c r="D16" s="27" t="s">
        <v>48</v>
      </c>
      <c r="G16" s="28">
        <v>0</v>
      </c>
      <c r="H16" s="26">
        <v>5.5</v>
      </c>
      <c r="I16" s="26">
        <v>5</v>
      </c>
      <c r="J16" s="36">
        <v>6</v>
      </c>
      <c r="K16" s="34">
        <v>2014</v>
      </c>
      <c r="L16" s="34">
        <v>1</v>
      </c>
      <c r="M16" s="34">
        <v>17</v>
      </c>
      <c r="N16" s="26"/>
    </row>
    <row r="17" spans="1:14">
      <c r="A17" s="26">
        <v>100201</v>
      </c>
      <c r="B17" s="27" t="s">
        <v>223</v>
      </c>
      <c r="C17" s="26" t="s">
        <v>47</v>
      </c>
      <c r="D17" s="27" t="s">
        <v>48</v>
      </c>
      <c r="G17" s="28">
        <v>0</v>
      </c>
      <c r="H17" s="26">
        <v>10.5</v>
      </c>
      <c r="I17" s="26">
        <v>5</v>
      </c>
      <c r="J17" s="36">
        <v>6</v>
      </c>
      <c r="K17" s="34">
        <v>2014</v>
      </c>
      <c r="L17" s="34">
        <v>1</v>
      </c>
      <c r="M17" s="34">
        <v>17</v>
      </c>
      <c r="N17" s="26"/>
    </row>
    <row r="18" spans="1:14">
      <c r="A18" s="26">
        <v>100201</v>
      </c>
      <c r="B18" s="27" t="s">
        <v>224</v>
      </c>
      <c r="C18" s="26" t="s">
        <v>47</v>
      </c>
      <c r="D18" s="27" t="s">
        <v>48</v>
      </c>
      <c r="G18" s="28">
        <v>0</v>
      </c>
      <c r="H18" s="26">
        <v>1</v>
      </c>
      <c r="I18" s="26">
        <v>5</v>
      </c>
      <c r="J18" s="36">
        <v>6</v>
      </c>
      <c r="K18" s="34">
        <v>2014</v>
      </c>
      <c r="L18" s="34">
        <v>1</v>
      </c>
      <c r="M18" s="34">
        <v>17</v>
      </c>
      <c r="N18" s="26"/>
    </row>
    <row r="19" spans="1:14">
      <c r="A19" s="26">
        <v>560301</v>
      </c>
      <c r="B19" s="27" t="s">
        <v>225</v>
      </c>
      <c r="C19" s="26" t="s">
        <v>177</v>
      </c>
      <c r="D19" s="27" t="s">
        <v>199</v>
      </c>
      <c r="E19" s="26" t="s">
        <v>199</v>
      </c>
      <c r="F19" s="26" t="s">
        <v>199</v>
      </c>
      <c r="G19" s="28">
        <v>29.5</v>
      </c>
      <c r="H19" s="26">
        <v>0</v>
      </c>
      <c r="I19" s="26">
        <v>5</v>
      </c>
      <c r="J19" s="36">
        <v>6</v>
      </c>
      <c r="K19" s="34">
        <v>2014</v>
      </c>
      <c r="L19" s="34">
        <v>1</v>
      </c>
      <c r="M19" s="34">
        <v>17</v>
      </c>
      <c r="N19" s="26"/>
    </row>
    <row r="20" spans="1:14">
      <c r="A20" s="26">
        <v>100201</v>
      </c>
      <c r="B20" s="27" t="s">
        <v>226</v>
      </c>
      <c r="C20" s="26" t="s">
        <v>47</v>
      </c>
      <c r="D20" s="27" t="s">
        <v>48</v>
      </c>
      <c r="G20" s="28">
        <v>0</v>
      </c>
      <c r="H20" s="26">
        <v>5000</v>
      </c>
      <c r="I20" s="26">
        <v>6</v>
      </c>
      <c r="J20" s="36">
        <v>2</v>
      </c>
      <c r="K20" s="34">
        <v>2014</v>
      </c>
      <c r="L20" s="34">
        <v>1</v>
      </c>
      <c r="M20" s="34">
        <v>17</v>
      </c>
      <c r="N20" s="26"/>
    </row>
    <row r="21" spans="1:14">
      <c r="A21" s="26">
        <v>112311</v>
      </c>
      <c r="B21" s="27" t="s">
        <v>227</v>
      </c>
      <c r="C21" s="26" t="s">
        <v>64</v>
      </c>
      <c r="D21" s="27" t="s">
        <v>70</v>
      </c>
      <c r="G21" s="28">
        <v>5000</v>
      </c>
      <c r="H21" s="26">
        <v>0</v>
      </c>
      <c r="I21" s="26">
        <v>6</v>
      </c>
      <c r="J21" s="36">
        <v>2</v>
      </c>
      <c r="K21" s="34">
        <v>2014</v>
      </c>
      <c r="L21" s="34">
        <v>1</v>
      </c>
      <c r="M21" s="34">
        <v>17</v>
      </c>
      <c r="N21" s="26"/>
    </row>
    <row r="22" spans="1:14">
      <c r="A22" s="26">
        <v>100101</v>
      </c>
      <c r="B22" s="27" t="s">
        <v>228</v>
      </c>
      <c r="C22" s="26" t="s">
        <v>46</v>
      </c>
      <c r="D22" s="27" t="s">
        <v>199</v>
      </c>
      <c r="G22" s="28">
        <v>15000</v>
      </c>
      <c r="H22" s="26">
        <v>0</v>
      </c>
      <c r="I22" s="26">
        <v>7</v>
      </c>
      <c r="J22" s="36">
        <v>1</v>
      </c>
      <c r="K22" s="34">
        <v>2014</v>
      </c>
      <c r="L22" s="34">
        <v>1</v>
      </c>
      <c r="M22" s="34">
        <v>17</v>
      </c>
      <c r="N22" s="26"/>
    </row>
    <row r="23" spans="1:14">
      <c r="A23" s="26">
        <v>100201</v>
      </c>
      <c r="B23" s="27" t="s">
        <v>228</v>
      </c>
      <c r="C23" s="26" t="s">
        <v>47</v>
      </c>
      <c r="D23" s="27" t="s">
        <v>48</v>
      </c>
      <c r="G23" s="28">
        <v>0</v>
      </c>
      <c r="H23" s="26">
        <v>15000</v>
      </c>
      <c r="I23" s="26">
        <v>7</v>
      </c>
      <c r="J23" s="36">
        <v>1</v>
      </c>
      <c r="K23" s="34">
        <v>2014</v>
      </c>
      <c r="L23" s="34">
        <v>1</v>
      </c>
      <c r="M23" s="34">
        <v>17</v>
      </c>
      <c r="N23" s="26"/>
    </row>
    <row r="24" spans="1:14">
      <c r="A24" s="26">
        <v>221101</v>
      </c>
      <c r="B24" s="27" t="s">
        <v>229</v>
      </c>
      <c r="C24" s="26" t="s">
        <v>113</v>
      </c>
      <c r="D24" s="27" t="s">
        <v>114</v>
      </c>
      <c r="G24" s="28">
        <v>10600</v>
      </c>
      <c r="H24" s="26">
        <v>0</v>
      </c>
      <c r="I24" s="26">
        <v>8</v>
      </c>
      <c r="J24" s="36">
        <v>1</v>
      </c>
      <c r="K24" s="34">
        <v>2014</v>
      </c>
      <c r="L24" s="34">
        <v>1</v>
      </c>
      <c r="M24" s="34">
        <v>17</v>
      </c>
      <c r="N24" s="26"/>
    </row>
    <row r="25" spans="1:14">
      <c r="A25" s="26">
        <v>221102</v>
      </c>
      <c r="B25" s="27" t="s">
        <v>230</v>
      </c>
      <c r="C25" s="26" t="s">
        <v>113</v>
      </c>
      <c r="D25" s="27" t="s">
        <v>231</v>
      </c>
      <c r="G25" s="28">
        <v>370</v>
      </c>
      <c r="H25" s="26">
        <v>0</v>
      </c>
      <c r="I25" s="26">
        <v>8</v>
      </c>
      <c r="J25" s="36">
        <v>1</v>
      </c>
      <c r="K25" s="34">
        <v>2014</v>
      </c>
      <c r="L25" s="34">
        <v>1</v>
      </c>
      <c r="M25" s="34">
        <v>17</v>
      </c>
      <c r="N25" s="26"/>
    </row>
    <row r="26" spans="1:14">
      <c r="A26" s="26">
        <v>224103</v>
      </c>
      <c r="B26" s="27" t="s">
        <v>232</v>
      </c>
      <c r="C26" s="26" t="s">
        <v>140</v>
      </c>
      <c r="D26" s="27" t="s">
        <v>141</v>
      </c>
      <c r="G26" s="28">
        <v>0</v>
      </c>
      <c r="H26" s="26">
        <v>401.1</v>
      </c>
      <c r="I26" s="26">
        <v>8</v>
      </c>
      <c r="J26" s="36">
        <v>1</v>
      </c>
      <c r="K26" s="34">
        <v>2014</v>
      </c>
      <c r="L26" s="34">
        <v>1</v>
      </c>
      <c r="M26" s="34">
        <v>17</v>
      </c>
      <c r="N26" s="26"/>
    </row>
    <row r="27" spans="1:14">
      <c r="A27" s="26">
        <v>100101</v>
      </c>
      <c r="B27" s="27" t="s">
        <v>233</v>
      </c>
      <c r="C27" s="26" t="s">
        <v>46</v>
      </c>
      <c r="D27" s="27" t="s">
        <v>199</v>
      </c>
      <c r="G27" s="28">
        <v>0</v>
      </c>
      <c r="H27" s="26">
        <v>10568.9</v>
      </c>
      <c r="I27" s="26">
        <v>8</v>
      </c>
      <c r="J27" s="36">
        <v>1</v>
      </c>
      <c r="K27" s="34">
        <v>2014</v>
      </c>
      <c r="L27" s="34">
        <v>1</v>
      </c>
      <c r="M27" s="34">
        <v>17</v>
      </c>
      <c r="N27" s="26"/>
    </row>
    <row r="28" spans="1:14">
      <c r="A28" s="26">
        <v>560201</v>
      </c>
      <c r="B28" s="27" t="s">
        <v>234</v>
      </c>
      <c r="C28" s="26" t="s">
        <v>166</v>
      </c>
      <c r="D28" s="27" t="s">
        <v>235</v>
      </c>
      <c r="G28" s="28">
        <v>3000</v>
      </c>
      <c r="H28" s="26">
        <v>0</v>
      </c>
      <c r="I28" s="26">
        <v>9</v>
      </c>
      <c r="J28" s="36">
        <v>2</v>
      </c>
      <c r="K28" s="34">
        <v>2014</v>
      </c>
      <c r="L28" s="34">
        <v>1</v>
      </c>
      <c r="M28" s="34">
        <v>17</v>
      </c>
      <c r="N28" s="26"/>
    </row>
    <row r="29" spans="1:14">
      <c r="A29" s="26">
        <v>100201</v>
      </c>
      <c r="B29" s="27" t="s">
        <v>236</v>
      </c>
      <c r="C29" s="26" t="s">
        <v>47</v>
      </c>
      <c r="D29" s="27" t="s">
        <v>48</v>
      </c>
      <c r="G29" s="28">
        <v>0</v>
      </c>
      <c r="H29" s="26">
        <v>1500</v>
      </c>
      <c r="I29" s="26">
        <v>9</v>
      </c>
      <c r="J29" s="36">
        <v>2</v>
      </c>
      <c r="K29" s="34">
        <v>2014</v>
      </c>
      <c r="L29" s="34">
        <v>1</v>
      </c>
      <c r="M29" s="34">
        <v>17</v>
      </c>
      <c r="N29" s="26"/>
    </row>
    <row r="30" spans="1:14">
      <c r="A30" s="26">
        <v>100101</v>
      </c>
      <c r="B30" s="27" t="s">
        <v>237</v>
      </c>
      <c r="C30" s="26" t="s">
        <v>46</v>
      </c>
      <c r="D30" s="27" t="s">
        <v>199</v>
      </c>
      <c r="G30" s="28">
        <v>0</v>
      </c>
      <c r="H30" s="26">
        <v>1299.45</v>
      </c>
      <c r="I30" s="26">
        <v>9</v>
      </c>
      <c r="J30" s="36">
        <v>2</v>
      </c>
      <c r="K30" s="34">
        <v>2014</v>
      </c>
      <c r="L30" s="34">
        <v>1</v>
      </c>
      <c r="M30" s="34">
        <v>17</v>
      </c>
      <c r="N30" s="26"/>
    </row>
    <row r="31" spans="1:14">
      <c r="A31" s="26">
        <v>224103</v>
      </c>
      <c r="B31" s="27" t="s">
        <v>238</v>
      </c>
      <c r="C31" s="26" t="s">
        <v>140</v>
      </c>
      <c r="D31" s="27" t="s">
        <v>141</v>
      </c>
      <c r="G31" s="28">
        <v>0</v>
      </c>
      <c r="H31" s="26">
        <v>200.55</v>
      </c>
      <c r="I31" s="26">
        <v>9</v>
      </c>
      <c r="J31" s="36">
        <v>2</v>
      </c>
      <c r="K31" s="34">
        <v>2014</v>
      </c>
      <c r="L31" s="34">
        <v>1</v>
      </c>
      <c r="M31" s="34">
        <v>17</v>
      </c>
      <c r="N31" s="26"/>
    </row>
    <row r="32" spans="1:14">
      <c r="A32" s="26">
        <v>112206</v>
      </c>
      <c r="B32" s="27" t="s">
        <v>239</v>
      </c>
      <c r="C32" s="26" t="s">
        <v>49</v>
      </c>
      <c r="D32" s="27" t="s">
        <v>240</v>
      </c>
      <c r="G32" s="28">
        <v>1558.5</v>
      </c>
      <c r="H32" s="26">
        <v>0</v>
      </c>
      <c r="I32" s="26">
        <v>10</v>
      </c>
      <c r="J32" s="36">
        <v>2</v>
      </c>
      <c r="K32" s="34">
        <v>2014</v>
      </c>
      <c r="L32" s="34">
        <v>1</v>
      </c>
      <c r="M32" s="34">
        <v>17</v>
      </c>
      <c r="N32" s="26"/>
    </row>
    <row r="33" spans="1:14">
      <c r="A33" s="26">
        <v>112206</v>
      </c>
      <c r="B33" s="27" t="s">
        <v>239</v>
      </c>
      <c r="C33" s="26" t="s">
        <v>49</v>
      </c>
      <c r="D33" s="27" t="s">
        <v>240</v>
      </c>
      <c r="G33" s="28">
        <v>2016.3</v>
      </c>
      <c r="H33" s="26">
        <v>0</v>
      </c>
      <c r="I33" s="26">
        <v>10</v>
      </c>
      <c r="J33" s="36">
        <v>2</v>
      </c>
      <c r="K33" s="34">
        <v>2014</v>
      </c>
      <c r="L33" s="34">
        <v>1</v>
      </c>
      <c r="M33" s="34">
        <v>17</v>
      </c>
      <c r="N33" s="26"/>
    </row>
    <row r="34" spans="1:14">
      <c r="A34" s="26">
        <v>100101</v>
      </c>
      <c r="B34" s="27" t="s">
        <v>241</v>
      </c>
      <c r="C34" s="26" t="s">
        <v>46</v>
      </c>
      <c r="D34" s="27" t="s">
        <v>199</v>
      </c>
      <c r="G34" s="28">
        <v>0</v>
      </c>
      <c r="H34" s="26">
        <v>3574.8</v>
      </c>
      <c r="I34" s="26">
        <v>10</v>
      </c>
      <c r="J34" s="36">
        <v>2</v>
      </c>
      <c r="K34" s="34">
        <v>2014</v>
      </c>
      <c r="L34" s="34">
        <v>1</v>
      </c>
      <c r="M34" s="34">
        <v>17</v>
      </c>
      <c r="N34" s="26"/>
    </row>
    <row r="35" spans="1:14">
      <c r="A35" s="26">
        <v>540301</v>
      </c>
      <c r="B35" s="27" t="s">
        <v>242</v>
      </c>
      <c r="C35" s="26" t="s">
        <v>165</v>
      </c>
      <c r="D35" s="27" t="s">
        <v>129</v>
      </c>
      <c r="G35" s="28">
        <v>399</v>
      </c>
      <c r="H35" s="26">
        <v>0</v>
      </c>
      <c r="I35" s="26">
        <v>11</v>
      </c>
      <c r="J35" s="36">
        <v>1</v>
      </c>
      <c r="K35" s="34">
        <v>2014</v>
      </c>
      <c r="L35" s="34">
        <v>1</v>
      </c>
      <c r="M35" s="34">
        <v>17</v>
      </c>
      <c r="N35" s="26"/>
    </row>
    <row r="36" spans="1:14">
      <c r="A36" s="26">
        <v>540302</v>
      </c>
      <c r="B36" s="27" t="s">
        <v>242</v>
      </c>
      <c r="C36" s="26" t="s">
        <v>165</v>
      </c>
      <c r="D36" s="27" t="s">
        <v>130</v>
      </c>
      <c r="G36" s="28">
        <v>285</v>
      </c>
      <c r="H36" s="26">
        <v>0</v>
      </c>
      <c r="I36" s="26">
        <v>11</v>
      </c>
      <c r="J36" s="36">
        <v>1</v>
      </c>
      <c r="K36" s="34">
        <v>2014</v>
      </c>
      <c r="L36" s="34">
        <v>1</v>
      </c>
      <c r="M36" s="34">
        <v>17</v>
      </c>
      <c r="N36" s="26"/>
    </row>
    <row r="37" spans="1:14">
      <c r="A37" s="26">
        <v>540303</v>
      </c>
      <c r="B37" s="27" t="s">
        <v>242</v>
      </c>
      <c r="C37" s="26" t="s">
        <v>165</v>
      </c>
      <c r="D37" s="27" t="s">
        <v>131</v>
      </c>
      <c r="G37" s="28">
        <v>57</v>
      </c>
      <c r="H37" s="26">
        <v>0</v>
      </c>
      <c r="I37" s="26">
        <v>11</v>
      </c>
      <c r="J37" s="36">
        <v>1</v>
      </c>
      <c r="K37" s="34">
        <v>2014</v>
      </c>
      <c r="L37" s="34">
        <v>1</v>
      </c>
      <c r="M37" s="34">
        <v>17</v>
      </c>
      <c r="N37" s="26"/>
    </row>
    <row r="38" spans="1:14">
      <c r="A38" s="26">
        <v>540304</v>
      </c>
      <c r="B38" s="27" t="s">
        <v>242</v>
      </c>
      <c r="C38" s="26" t="s">
        <v>165</v>
      </c>
      <c r="D38" s="27" t="s">
        <v>128</v>
      </c>
      <c r="G38" s="28">
        <v>5700</v>
      </c>
      <c r="H38" s="26">
        <v>0</v>
      </c>
      <c r="I38" s="26">
        <v>11</v>
      </c>
      <c r="J38" s="36">
        <v>1</v>
      </c>
      <c r="K38" s="34">
        <v>2014</v>
      </c>
      <c r="L38" s="34">
        <v>1</v>
      </c>
      <c r="M38" s="34">
        <v>17</v>
      </c>
      <c r="N38" s="26"/>
    </row>
    <row r="39" spans="1:14">
      <c r="A39" s="26">
        <v>580101</v>
      </c>
      <c r="B39" s="27" t="s">
        <v>242</v>
      </c>
      <c r="C39" s="26" t="s">
        <v>183</v>
      </c>
      <c r="D39" s="27" t="s">
        <v>199</v>
      </c>
      <c r="G39" s="28">
        <v>1520</v>
      </c>
      <c r="H39" s="26">
        <v>0</v>
      </c>
      <c r="I39" s="26">
        <v>11</v>
      </c>
      <c r="J39" s="36">
        <v>1</v>
      </c>
      <c r="K39" s="34">
        <v>2014</v>
      </c>
      <c r="L39" s="34">
        <v>1</v>
      </c>
      <c r="M39" s="34">
        <v>17</v>
      </c>
      <c r="N39" s="26"/>
    </row>
    <row r="40" spans="1:14">
      <c r="A40" s="26">
        <v>560206</v>
      </c>
      <c r="B40" s="27" t="s">
        <v>242</v>
      </c>
      <c r="C40" s="26" t="s">
        <v>166</v>
      </c>
      <c r="D40" s="27" t="s">
        <v>172</v>
      </c>
      <c r="G40" s="28">
        <v>190</v>
      </c>
      <c r="H40" s="26">
        <v>0</v>
      </c>
      <c r="I40" s="26">
        <v>11</v>
      </c>
      <c r="J40" s="36">
        <v>1</v>
      </c>
      <c r="K40" s="34">
        <v>2014</v>
      </c>
      <c r="L40" s="34">
        <v>1</v>
      </c>
      <c r="M40" s="34">
        <v>17</v>
      </c>
      <c r="N40" s="26"/>
    </row>
    <row r="41" spans="1:14">
      <c r="A41" s="26">
        <v>222102</v>
      </c>
      <c r="B41" s="27" t="s">
        <v>242</v>
      </c>
      <c r="C41" s="26" t="s">
        <v>126</v>
      </c>
      <c r="D41" s="27" t="s">
        <v>128</v>
      </c>
      <c r="G41" s="28">
        <v>0</v>
      </c>
      <c r="H41" s="26">
        <v>5700</v>
      </c>
      <c r="I41" s="26">
        <v>11</v>
      </c>
      <c r="J41" s="36">
        <v>1</v>
      </c>
      <c r="K41" s="34">
        <v>2014</v>
      </c>
      <c r="L41" s="34">
        <v>1</v>
      </c>
      <c r="M41" s="34">
        <v>17</v>
      </c>
      <c r="N41" s="26"/>
    </row>
    <row r="42" spans="1:14">
      <c r="A42" s="26">
        <v>222103</v>
      </c>
      <c r="B42" s="27" t="s">
        <v>242</v>
      </c>
      <c r="C42" s="26" t="s">
        <v>126</v>
      </c>
      <c r="D42" s="27" t="s">
        <v>129</v>
      </c>
      <c r="G42" s="28">
        <v>0</v>
      </c>
      <c r="H42" s="26">
        <v>399</v>
      </c>
      <c r="I42" s="26">
        <v>11</v>
      </c>
      <c r="J42" s="36">
        <v>1</v>
      </c>
      <c r="K42" s="34">
        <v>2014</v>
      </c>
      <c r="L42" s="34">
        <v>1</v>
      </c>
      <c r="M42" s="34">
        <v>17</v>
      </c>
      <c r="N42" s="26"/>
    </row>
    <row r="43" spans="1:14">
      <c r="A43" s="26">
        <v>222104</v>
      </c>
      <c r="B43" s="27" t="s">
        <v>242</v>
      </c>
      <c r="C43" s="26" t="s">
        <v>126</v>
      </c>
      <c r="D43" s="27" t="s">
        <v>130</v>
      </c>
      <c r="G43" s="28">
        <v>0</v>
      </c>
      <c r="H43" s="26">
        <v>285</v>
      </c>
      <c r="I43" s="26">
        <v>11</v>
      </c>
      <c r="J43" s="36">
        <v>1</v>
      </c>
      <c r="K43" s="34">
        <v>2014</v>
      </c>
      <c r="L43" s="34">
        <v>1</v>
      </c>
      <c r="M43" s="34">
        <v>17</v>
      </c>
      <c r="N43" s="26"/>
    </row>
    <row r="44" spans="1:14">
      <c r="A44" s="26">
        <v>222105</v>
      </c>
      <c r="B44" s="27" t="s">
        <v>242</v>
      </c>
      <c r="C44" s="26" t="s">
        <v>126</v>
      </c>
      <c r="D44" s="27" t="s">
        <v>131</v>
      </c>
      <c r="G44" s="28">
        <v>0</v>
      </c>
      <c r="H44" s="26">
        <v>57</v>
      </c>
      <c r="I44" s="26">
        <v>11</v>
      </c>
      <c r="J44" s="36">
        <v>1</v>
      </c>
      <c r="K44" s="34">
        <v>2014</v>
      </c>
      <c r="L44" s="34">
        <v>1</v>
      </c>
      <c r="M44" s="34">
        <v>17</v>
      </c>
      <c r="N44" s="26"/>
    </row>
    <row r="45" spans="1:14">
      <c r="A45" s="26">
        <v>222106</v>
      </c>
      <c r="B45" s="27" t="s">
        <v>242</v>
      </c>
      <c r="C45" s="26" t="s">
        <v>126</v>
      </c>
      <c r="D45" s="27" t="s">
        <v>132</v>
      </c>
      <c r="G45" s="28">
        <v>0</v>
      </c>
      <c r="H45" s="26">
        <v>1520</v>
      </c>
      <c r="I45" s="26">
        <v>11</v>
      </c>
      <c r="J45" s="36">
        <v>1</v>
      </c>
      <c r="K45" s="34">
        <v>2014</v>
      </c>
      <c r="L45" s="34">
        <v>1</v>
      </c>
      <c r="M45" s="34">
        <v>17</v>
      </c>
      <c r="N45" s="26"/>
    </row>
    <row r="46" spans="1:14">
      <c r="A46" s="26">
        <v>224104</v>
      </c>
      <c r="B46" s="27" t="s">
        <v>242</v>
      </c>
      <c r="C46" s="26" t="s">
        <v>140</v>
      </c>
      <c r="D46" s="27" t="s">
        <v>142</v>
      </c>
      <c r="G46" s="28">
        <v>0</v>
      </c>
      <c r="H46" s="26">
        <v>190</v>
      </c>
      <c r="I46" s="26">
        <v>11</v>
      </c>
      <c r="J46" s="36">
        <v>1</v>
      </c>
      <c r="K46" s="34">
        <v>2014</v>
      </c>
      <c r="L46" s="34">
        <v>1</v>
      </c>
      <c r="M46" s="34">
        <v>17</v>
      </c>
      <c r="N46" s="26"/>
    </row>
    <row r="47" spans="1:14">
      <c r="A47" s="26">
        <v>560203</v>
      </c>
      <c r="B47" s="27" t="s">
        <v>243</v>
      </c>
      <c r="C47" s="26" t="s">
        <v>166</v>
      </c>
      <c r="D47" s="27" t="s">
        <v>169</v>
      </c>
      <c r="G47" s="28">
        <v>400</v>
      </c>
      <c r="H47" s="26">
        <v>0</v>
      </c>
      <c r="I47" s="26">
        <v>12</v>
      </c>
      <c r="J47" s="36">
        <v>8</v>
      </c>
      <c r="K47" s="34">
        <v>2014</v>
      </c>
      <c r="L47" s="34">
        <v>1</v>
      </c>
      <c r="M47" s="34">
        <v>17</v>
      </c>
      <c r="N47" s="26"/>
    </row>
    <row r="48" spans="1:14">
      <c r="A48" s="26">
        <v>560206</v>
      </c>
      <c r="B48" s="27" t="s">
        <v>244</v>
      </c>
      <c r="C48" s="26" t="s">
        <v>166</v>
      </c>
      <c r="D48" s="27" t="s">
        <v>172</v>
      </c>
      <c r="G48" s="28">
        <v>676</v>
      </c>
      <c r="H48" s="26">
        <v>0</v>
      </c>
      <c r="I48" s="26">
        <v>12</v>
      </c>
      <c r="J48" s="36">
        <v>8</v>
      </c>
      <c r="K48" s="34">
        <v>2014</v>
      </c>
      <c r="L48" s="34">
        <v>1</v>
      </c>
      <c r="M48" s="34">
        <v>17</v>
      </c>
      <c r="N48" s="26"/>
    </row>
    <row r="49" spans="1:14">
      <c r="A49" s="26">
        <v>221103</v>
      </c>
      <c r="B49" s="27" t="s">
        <v>245</v>
      </c>
      <c r="C49" s="26" t="s">
        <v>113</v>
      </c>
      <c r="D49" s="27" t="s">
        <v>116</v>
      </c>
      <c r="G49" s="28">
        <v>390</v>
      </c>
      <c r="H49" s="26">
        <v>0</v>
      </c>
      <c r="I49" s="26">
        <v>12</v>
      </c>
      <c r="J49" s="36">
        <v>8</v>
      </c>
      <c r="K49" s="34">
        <v>2014</v>
      </c>
      <c r="L49" s="34">
        <v>1</v>
      </c>
      <c r="M49" s="34">
        <v>17</v>
      </c>
      <c r="N49" s="26"/>
    </row>
    <row r="50" spans="1:14">
      <c r="A50" s="26">
        <v>100201</v>
      </c>
      <c r="B50" s="27" t="s">
        <v>246</v>
      </c>
      <c r="C50" s="26" t="s">
        <v>47</v>
      </c>
      <c r="D50" s="27" t="s">
        <v>48</v>
      </c>
      <c r="G50" s="28">
        <v>0</v>
      </c>
      <c r="H50" s="26">
        <v>10000</v>
      </c>
      <c r="I50" s="26">
        <v>12</v>
      </c>
      <c r="J50" s="36">
        <v>8</v>
      </c>
      <c r="K50" s="34">
        <v>2014</v>
      </c>
      <c r="L50" s="34">
        <v>1</v>
      </c>
      <c r="M50" s="34">
        <v>17</v>
      </c>
      <c r="N50" s="26"/>
    </row>
    <row r="51" spans="1:14">
      <c r="A51" s="26">
        <v>100101</v>
      </c>
      <c r="B51" s="27" t="s">
        <v>246</v>
      </c>
      <c r="C51" s="26" t="s">
        <v>46</v>
      </c>
      <c r="D51" s="27" t="s">
        <v>199</v>
      </c>
      <c r="G51" s="28">
        <v>8534</v>
      </c>
      <c r="H51" s="26">
        <v>0</v>
      </c>
      <c r="I51" s="26">
        <v>12</v>
      </c>
      <c r="J51" s="36">
        <v>8</v>
      </c>
      <c r="K51" s="34">
        <v>2014</v>
      </c>
      <c r="L51" s="34">
        <v>1</v>
      </c>
      <c r="M51" s="34">
        <v>17</v>
      </c>
      <c r="N51" s="26"/>
    </row>
    <row r="52" spans="1:14">
      <c r="A52" s="26">
        <v>100101</v>
      </c>
      <c r="B52" s="27" t="s">
        <v>247</v>
      </c>
      <c r="C52" s="26" t="s">
        <v>46</v>
      </c>
      <c r="D52" s="27" t="s">
        <v>199</v>
      </c>
      <c r="G52" s="28">
        <v>2300</v>
      </c>
      <c r="H52" s="26">
        <v>0</v>
      </c>
      <c r="I52" s="26">
        <v>13</v>
      </c>
      <c r="J52" s="36">
        <v>1</v>
      </c>
      <c r="K52" s="34">
        <v>2014</v>
      </c>
      <c r="L52" s="34">
        <v>1</v>
      </c>
      <c r="M52" s="34">
        <v>17</v>
      </c>
      <c r="N52" s="26"/>
    </row>
    <row r="53" spans="1:14">
      <c r="A53" s="26">
        <v>122105</v>
      </c>
      <c r="B53" s="27" t="s">
        <v>247</v>
      </c>
      <c r="C53" s="26" t="s">
        <v>78</v>
      </c>
      <c r="D53" s="27" t="s">
        <v>83</v>
      </c>
      <c r="G53" s="28">
        <v>0</v>
      </c>
      <c r="H53" s="26">
        <v>2300</v>
      </c>
      <c r="I53" s="26">
        <v>13</v>
      </c>
      <c r="J53" s="36">
        <v>1</v>
      </c>
      <c r="K53" s="34">
        <v>2014</v>
      </c>
      <c r="L53" s="34">
        <v>1</v>
      </c>
      <c r="M53" s="34">
        <v>17</v>
      </c>
      <c r="N53" s="26"/>
    </row>
    <row r="54" spans="1:14">
      <c r="A54" s="26">
        <v>560206</v>
      </c>
      <c r="B54" s="27" t="s">
        <v>248</v>
      </c>
      <c r="C54" s="26" t="s">
        <v>166</v>
      </c>
      <c r="D54" s="27" t="s">
        <v>172</v>
      </c>
      <c r="G54" s="28">
        <v>8498</v>
      </c>
      <c r="H54" s="26">
        <v>0</v>
      </c>
      <c r="I54" s="26">
        <v>14</v>
      </c>
      <c r="J54" s="36">
        <v>5</v>
      </c>
      <c r="K54" s="34">
        <v>2014</v>
      </c>
      <c r="L54" s="34">
        <v>1</v>
      </c>
      <c r="M54" s="34">
        <v>17</v>
      </c>
      <c r="N54" s="26"/>
    </row>
    <row r="55" spans="1:14">
      <c r="A55" s="26">
        <v>221103</v>
      </c>
      <c r="B55" s="27" t="s">
        <v>245</v>
      </c>
      <c r="C55" s="26" t="s">
        <v>113</v>
      </c>
      <c r="D55" s="27" t="s">
        <v>116</v>
      </c>
      <c r="G55" s="28">
        <v>2844</v>
      </c>
      <c r="H55" s="26">
        <v>0</v>
      </c>
      <c r="I55" s="26">
        <v>14</v>
      </c>
      <c r="J55" s="36">
        <v>5</v>
      </c>
      <c r="K55" s="34">
        <v>2014</v>
      </c>
      <c r="L55" s="34">
        <v>1</v>
      </c>
      <c r="M55" s="34">
        <v>17</v>
      </c>
      <c r="N55" s="26"/>
    </row>
    <row r="56" spans="1:14">
      <c r="A56" s="26">
        <v>224101</v>
      </c>
      <c r="B56" s="27" t="s">
        <v>249</v>
      </c>
      <c r="C56" s="26" t="s">
        <v>140</v>
      </c>
      <c r="D56" s="27" t="s">
        <v>12</v>
      </c>
      <c r="G56" s="28">
        <v>3658</v>
      </c>
      <c r="H56" s="26">
        <v>0</v>
      </c>
      <c r="I56" s="26">
        <v>14</v>
      </c>
      <c r="J56" s="36">
        <v>5</v>
      </c>
      <c r="K56" s="34">
        <v>2014</v>
      </c>
      <c r="L56" s="34">
        <v>1</v>
      </c>
      <c r="M56" s="34">
        <v>17</v>
      </c>
      <c r="N56" s="26"/>
    </row>
    <row r="57" spans="1:14">
      <c r="A57" s="26">
        <v>100201</v>
      </c>
      <c r="B57" s="27" t="s">
        <v>250</v>
      </c>
      <c r="C57" s="26" t="s">
        <v>47</v>
      </c>
      <c r="D57" s="27" t="s">
        <v>48</v>
      </c>
      <c r="G57" s="28">
        <v>0</v>
      </c>
      <c r="H57" s="26">
        <v>15000</v>
      </c>
      <c r="I57" s="26">
        <v>14</v>
      </c>
      <c r="J57" s="36">
        <v>5</v>
      </c>
      <c r="K57" s="34">
        <v>2014</v>
      </c>
      <c r="L57" s="34">
        <v>1</v>
      </c>
      <c r="M57" s="34">
        <v>17</v>
      </c>
      <c r="N57" s="26"/>
    </row>
    <row r="58" spans="1:14">
      <c r="A58" s="26">
        <v>122105</v>
      </c>
      <c r="B58" s="27" t="s">
        <v>251</v>
      </c>
      <c r="C58" s="26" t="s">
        <v>78</v>
      </c>
      <c r="D58" s="27" t="s">
        <v>83</v>
      </c>
      <c r="G58" s="28">
        <v>2000</v>
      </c>
      <c r="H58" s="26">
        <v>0</v>
      </c>
      <c r="I58" s="26">
        <v>15</v>
      </c>
      <c r="J58" s="36">
        <v>1</v>
      </c>
      <c r="K58" s="34">
        <v>2014</v>
      </c>
      <c r="L58" s="34">
        <v>1</v>
      </c>
      <c r="M58" s="34">
        <v>17</v>
      </c>
      <c r="N58" s="26"/>
    </row>
    <row r="59" spans="1:14">
      <c r="A59" s="26">
        <v>100101</v>
      </c>
      <c r="B59" s="27" t="s">
        <v>251</v>
      </c>
      <c r="C59" s="26" t="s">
        <v>46</v>
      </c>
      <c r="D59" s="27" t="s">
        <v>199</v>
      </c>
      <c r="G59" s="28">
        <v>0</v>
      </c>
      <c r="H59" s="26">
        <v>2000</v>
      </c>
      <c r="I59" s="26">
        <v>15</v>
      </c>
      <c r="J59" s="36">
        <v>1</v>
      </c>
      <c r="K59" s="34">
        <v>2014</v>
      </c>
      <c r="L59" s="34">
        <v>1</v>
      </c>
      <c r="M59" s="34">
        <v>17</v>
      </c>
      <c r="N59" s="26"/>
    </row>
    <row r="60" spans="1:14">
      <c r="A60" s="26">
        <v>100201</v>
      </c>
      <c r="B60" s="27" t="s">
        <v>252</v>
      </c>
      <c r="C60" s="26" t="s">
        <v>47</v>
      </c>
      <c r="D60" s="27" t="s">
        <v>48</v>
      </c>
      <c r="G60" s="28">
        <v>10000</v>
      </c>
      <c r="H60" s="26">
        <v>0</v>
      </c>
      <c r="I60" s="26">
        <v>16</v>
      </c>
      <c r="J60" s="36">
        <v>1</v>
      </c>
      <c r="K60" s="34">
        <v>2014</v>
      </c>
      <c r="L60" s="34">
        <v>1</v>
      </c>
      <c r="M60" s="34">
        <v>17</v>
      </c>
      <c r="N60" s="26"/>
    </row>
    <row r="61" spans="1:14">
      <c r="A61" s="26">
        <v>220305</v>
      </c>
      <c r="B61" s="27" t="s">
        <v>252</v>
      </c>
      <c r="C61" s="26" t="s">
        <v>107</v>
      </c>
      <c r="D61" s="27" t="s">
        <v>111</v>
      </c>
      <c r="G61" s="28">
        <v>0</v>
      </c>
      <c r="H61" s="26">
        <v>10000</v>
      </c>
      <c r="I61" s="26">
        <v>16</v>
      </c>
      <c r="J61" s="36">
        <v>1</v>
      </c>
      <c r="K61" s="34">
        <v>2014</v>
      </c>
      <c r="L61" s="34">
        <v>1</v>
      </c>
      <c r="M61" s="34">
        <v>17</v>
      </c>
      <c r="N61" s="26"/>
    </row>
    <row r="62" spans="1:14">
      <c r="A62" s="26">
        <v>220303</v>
      </c>
      <c r="B62" s="27" t="s">
        <v>253</v>
      </c>
      <c r="C62" s="26" t="s">
        <v>107</v>
      </c>
      <c r="D62" s="27" t="s">
        <v>109</v>
      </c>
      <c r="G62" s="28">
        <v>0</v>
      </c>
      <c r="H62" s="26">
        <v>57000</v>
      </c>
      <c r="I62" s="26">
        <v>17</v>
      </c>
      <c r="J62" s="36">
        <v>1</v>
      </c>
      <c r="K62" s="34">
        <v>2014</v>
      </c>
      <c r="L62" s="34">
        <v>1</v>
      </c>
      <c r="M62" s="34">
        <v>17</v>
      </c>
      <c r="N62" s="26"/>
    </row>
    <row r="63" spans="1:14">
      <c r="A63" s="26">
        <v>100201</v>
      </c>
      <c r="B63" s="27" t="s">
        <v>253</v>
      </c>
      <c r="C63" s="26" t="s">
        <v>47</v>
      </c>
      <c r="D63" s="27" t="s">
        <v>48</v>
      </c>
      <c r="G63" s="28">
        <v>57000</v>
      </c>
      <c r="H63" s="26">
        <v>0</v>
      </c>
      <c r="I63" s="26">
        <v>17</v>
      </c>
      <c r="J63" s="36">
        <v>1</v>
      </c>
      <c r="K63" s="34">
        <v>2014</v>
      </c>
      <c r="L63" s="34">
        <v>1</v>
      </c>
      <c r="M63" s="34">
        <v>17</v>
      </c>
      <c r="N63" s="26"/>
    </row>
    <row r="64" spans="1:14">
      <c r="A64" s="26">
        <v>100201</v>
      </c>
      <c r="B64" s="27" t="s">
        <v>254</v>
      </c>
      <c r="C64" s="26" t="s">
        <v>47</v>
      </c>
      <c r="D64" s="27" t="s">
        <v>48</v>
      </c>
      <c r="G64" s="28">
        <v>5750</v>
      </c>
      <c r="H64" s="26">
        <v>0</v>
      </c>
      <c r="I64" s="26">
        <v>18</v>
      </c>
      <c r="J64" s="36">
        <v>1</v>
      </c>
      <c r="K64" s="34">
        <v>2014</v>
      </c>
      <c r="L64" s="34">
        <v>1</v>
      </c>
      <c r="M64" s="34">
        <v>17</v>
      </c>
      <c r="N64" s="26"/>
    </row>
    <row r="65" spans="1:14">
      <c r="A65" s="26">
        <v>112204</v>
      </c>
      <c r="B65" s="27" t="s">
        <v>254</v>
      </c>
      <c r="C65" s="26" t="s">
        <v>49</v>
      </c>
      <c r="D65" s="27" t="s">
        <v>255</v>
      </c>
      <c r="G65" s="28">
        <v>0</v>
      </c>
      <c r="H65" s="26">
        <v>5750</v>
      </c>
      <c r="I65" s="26">
        <v>18</v>
      </c>
      <c r="J65" s="36">
        <v>1</v>
      </c>
      <c r="K65" s="34">
        <v>2014</v>
      </c>
      <c r="L65" s="34">
        <v>1</v>
      </c>
      <c r="M65" s="34">
        <v>17</v>
      </c>
      <c r="N65" s="26"/>
    </row>
    <row r="66" spans="1:14">
      <c r="A66" s="26">
        <v>224101</v>
      </c>
      <c r="B66" s="27" t="s">
        <v>256</v>
      </c>
      <c r="C66" s="26" t="s">
        <v>140</v>
      </c>
      <c r="D66" s="27" t="s">
        <v>12</v>
      </c>
      <c r="G66" s="28">
        <v>70000</v>
      </c>
      <c r="H66" s="26">
        <v>0</v>
      </c>
      <c r="I66" s="26">
        <v>19</v>
      </c>
      <c r="J66" s="36">
        <v>1</v>
      </c>
      <c r="K66" s="34">
        <v>2014</v>
      </c>
      <c r="L66" s="34">
        <v>1</v>
      </c>
      <c r="M66" s="34">
        <v>17</v>
      </c>
      <c r="N66" s="26"/>
    </row>
    <row r="67" spans="1:14">
      <c r="A67" s="26">
        <v>100201</v>
      </c>
      <c r="B67" s="27" t="s">
        <v>257</v>
      </c>
      <c r="C67" s="26" t="s">
        <v>47</v>
      </c>
      <c r="D67" s="27" t="s">
        <v>48</v>
      </c>
      <c r="G67" s="28">
        <v>0</v>
      </c>
      <c r="H67" s="26">
        <v>70000</v>
      </c>
      <c r="I67" s="26">
        <v>19</v>
      </c>
      <c r="J67" s="36">
        <v>1</v>
      </c>
      <c r="K67" s="34">
        <v>2014</v>
      </c>
      <c r="L67" s="34">
        <v>1</v>
      </c>
      <c r="M67" s="34">
        <v>17</v>
      </c>
      <c r="N67" s="26"/>
    </row>
    <row r="68" spans="1:14">
      <c r="A68" s="26">
        <v>122104</v>
      </c>
      <c r="B68" s="27" t="s">
        <v>258</v>
      </c>
      <c r="C68" s="26" t="s">
        <v>78</v>
      </c>
      <c r="D68" s="27" t="s">
        <v>259</v>
      </c>
      <c r="G68" s="28">
        <v>120000</v>
      </c>
      <c r="H68" s="26">
        <v>0</v>
      </c>
      <c r="I68" s="26">
        <v>20</v>
      </c>
      <c r="J68" s="36">
        <v>1</v>
      </c>
      <c r="K68" s="34">
        <v>2014</v>
      </c>
      <c r="L68" s="34">
        <v>1</v>
      </c>
      <c r="M68" s="34">
        <v>17</v>
      </c>
      <c r="N68" s="26"/>
    </row>
    <row r="69" spans="1:14">
      <c r="A69" s="26">
        <v>100201</v>
      </c>
      <c r="B69" s="27" t="s">
        <v>260</v>
      </c>
      <c r="C69" s="26" t="s">
        <v>47</v>
      </c>
      <c r="D69" s="27" t="s">
        <v>48</v>
      </c>
      <c r="G69" s="28">
        <v>0</v>
      </c>
      <c r="H69" s="26">
        <v>120000</v>
      </c>
      <c r="I69" s="26">
        <v>20</v>
      </c>
      <c r="J69" s="36">
        <v>1</v>
      </c>
      <c r="K69" s="34">
        <v>2014</v>
      </c>
      <c r="L69" s="34">
        <v>1</v>
      </c>
      <c r="M69" s="34">
        <v>17</v>
      </c>
      <c r="N69" s="26"/>
    </row>
    <row r="70" spans="1:14">
      <c r="A70" s="26">
        <v>122104</v>
      </c>
      <c r="B70" s="27" t="s">
        <v>261</v>
      </c>
      <c r="C70" s="26" t="s">
        <v>78</v>
      </c>
      <c r="D70" s="27" t="s">
        <v>82</v>
      </c>
      <c r="G70" s="28">
        <v>50000</v>
      </c>
      <c r="H70" s="26">
        <v>0</v>
      </c>
      <c r="I70" s="26">
        <v>21</v>
      </c>
      <c r="J70" s="36">
        <v>1</v>
      </c>
      <c r="K70" s="34">
        <v>2014</v>
      </c>
      <c r="L70" s="34">
        <v>1</v>
      </c>
      <c r="M70" s="34">
        <v>17</v>
      </c>
      <c r="N70" s="26"/>
    </row>
    <row r="71" spans="1:14">
      <c r="A71" s="26">
        <v>100201</v>
      </c>
      <c r="B71" s="27" t="s">
        <v>262</v>
      </c>
      <c r="C71" s="26" t="s">
        <v>47</v>
      </c>
      <c r="D71" s="27" t="s">
        <v>48</v>
      </c>
      <c r="G71" s="28">
        <v>0</v>
      </c>
      <c r="H71" s="26">
        <v>50000</v>
      </c>
      <c r="I71" s="26">
        <v>21</v>
      </c>
      <c r="J71" s="36">
        <v>1</v>
      </c>
      <c r="K71" s="34">
        <v>2014</v>
      </c>
      <c r="L71" s="34">
        <v>1</v>
      </c>
      <c r="M71" s="34">
        <v>17</v>
      </c>
      <c r="N71" s="26"/>
    </row>
    <row r="72" spans="1:14">
      <c r="A72" s="26">
        <v>122104</v>
      </c>
      <c r="B72" s="27" t="s">
        <v>263</v>
      </c>
      <c r="C72" s="26" t="s">
        <v>78</v>
      </c>
      <c r="D72" s="27" t="s">
        <v>82</v>
      </c>
      <c r="G72" s="28">
        <v>35000</v>
      </c>
      <c r="H72" s="26">
        <v>0</v>
      </c>
      <c r="I72" s="26">
        <v>22</v>
      </c>
      <c r="J72" s="36">
        <v>1</v>
      </c>
      <c r="K72" s="34">
        <v>2014</v>
      </c>
      <c r="L72" s="34">
        <v>1</v>
      </c>
      <c r="M72" s="34">
        <v>17</v>
      </c>
      <c r="N72" s="26"/>
    </row>
    <row r="73" spans="1:14">
      <c r="A73" s="26">
        <v>100201</v>
      </c>
      <c r="B73" s="27" t="s">
        <v>264</v>
      </c>
      <c r="C73" s="26" t="s">
        <v>47</v>
      </c>
      <c r="D73" s="27" t="s">
        <v>48</v>
      </c>
      <c r="G73" s="28">
        <v>0</v>
      </c>
      <c r="H73" s="26">
        <v>35000</v>
      </c>
      <c r="I73" s="26">
        <v>22</v>
      </c>
      <c r="J73" s="36">
        <v>1</v>
      </c>
      <c r="K73" s="34">
        <v>2014</v>
      </c>
      <c r="L73" s="34">
        <v>1</v>
      </c>
      <c r="M73" s="34">
        <v>17</v>
      </c>
      <c r="N73" s="26"/>
    </row>
    <row r="74" spans="1:14">
      <c r="A74" s="26">
        <v>560206</v>
      </c>
      <c r="B74" s="27" t="s">
        <v>265</v>
      </c>
      <c r="C74" s="26" t="s">
        <v>166</v>
      </c>
      <c r="D74" s="27" t="s">
        <v>172</v>
      </c>
      <c r="G74" s="28">
        <v>5265</v>
      </c>
      <c r="H74" s="26">
        <v>0</v>
      </c>
      <c r="I74" s="26">
        <v>23</v>
      </c>
      <c r="J74" s="36">
        <v>3</v>
      </c>
      <c r="K74" s="34">
        <v>2014</v>
      </c>
      <c r="L74" s="34">
        <v>1</v>
      </c>
      <c r="M74" s="34">
        <v>20</v>
      </c>
      <c r="N74" s="26"/>
    </row>
    <row r="75" spans="1:14">
      <c r="A75" s="26">
        <v>100201</v>
      </c>
      <c r="B75" s="27" t="s">
        <v>266</v>
      </c>
      <c r="C75" s="26" t="s">
        <v>47</v>
      </c>
      <c r="D75" s="27" t="s">
        <v>48</v>
      </c>
      <c r="G75" s="28">
        <v>0</v>
      </c>
      <c r="H75" s="26">
        <v>4700</v>
      </c>
      <c r="I75" s="26">
        <v>23</v>
      </c>
      <c r="J75" s="36">
        <v>3</v>
      </c>
      <c r="K75" s="34">
        <v>2014</v>
      </c>
      <c r="L75" s="34">
        <v>1</v>
      </c>
      <c r="M75" s="34">
        <v>20</v>
      </c>
      <c r="N75" s="26"/>
    </row>
    <row r="76" spans="1:14">
      <c r="A76" s="26">
        <v>100201</v>
      </c>
      <c r="B76" s="27" t="s">
        <v>267</v>
      </c>
      <c r="C76" s="26" t="s">
        <v>47</v>
      </c>
      <c r="D76" s="27" t="s">
        <v>48</v>
      </c>
      <c r="G76" s="28">
        <v>0</v>
      </c>
      <c r="H76" s="26">
        <v>565</v>
      </c>
      <c r="I76" s="26">
        <v>23</v>
      </c>
      <c r="J76" s="36">
        <v>3</v>
      </c>
      <c r="K76" s="34">
        <v>2014</v>
      </c>
      <c r="L76" s="34">
        <v>1</v>
      </c>
      <c r="M76" s="34">
        <v>20</v>
      </c>
      <c r="N76" s="26"/>
    </row>
    <row r="77" spans="1:14">
      <c r="A77" s="26">
        <v>140501</v>
      </c>
      <c r="B77" s="27" t="s">
        <v>54</v>
      </c>
      <c r="C77" s="26" t="s">
        <v>89</v>
      </c>
      <c r="D77" s="27" t="s">
        <v>199</v>
      </c>
      <c r="G77" s="28">
        <v>1350.43</v>
      </c>
      <c r="H77" s="26">
        <v>0</v>
      </c>
      <c r="I77" s="26">
        <v>24</v>
      </c>
      <c r="J77" s="36">
        <v>2</v>
      </c>
      <c r="K77" s="34">
        <v>2014</v>
      </c>
      <c r="L77" s="34">
        <v>1</v>
      </c>
      <c r="M77" s="34">
        <v>20</v>
      </c>
      <c r="N77" s="26"/>
    </row>
    <row r="78" spans="1:14">
      <c r="A78" s="26">
        <v>222121</v>
      </c>
      <c r="B78" s="27" t="s">
        <v>54</v>
      </c>
      <c r="C78" s="26" t="s">
        <v>126</v>
      </c>
      <c r="D78" s="27" t="s">
        <v>268</v>
      </c>
      <c r="G78" s="28">
        <v>229.57</v>
      </c>
      <c r="H78" s="26">
        <v>0</v>
      </c>
      <c r="I78" s="26">
        <v>24</v>
      </c>
      <c r="J78" s="36">
        <v>2</v>
      </c>
      <c r="K78" s="34">
        <v>2014</v>
      </c>
      <c r="L78" s="34">
        <v>1</v>
      </c>
      <c r="M78" s="34">
        <v>20</v>
      </c>
      <c r="N78" s="26"/>
    </row>
    <row r="79" spans="1:14">
      <c r="A79" s="26">
        <v>100201</v>
      </c>
      <c r="B79" s="27" t="s">
        <v>269</v>
      </c>
      <c r="C79" s="26" t="s">
        <v>47</v>
      </c>
      <c r="D79" s="27" t="s">
        <v>48</v>
      </c>
      <c r="G79" s="28">
        <v>0</v>
      </c>
      <c r="H79" s="26">
        <v>1580</v>
      </c>
      <c r="I79" s="26">
        <v>24</v>
      </c>
      <c r="J79" s="36">
        <v>2</v>
      </c>
      <c r="K79" s="34">
        <v>2014</v>
      </c>
      <c r="L79" s="34">
        <v>1</v>
      </c>
      <c r="M79" s="34">
        <v>20</v>
      </c>
      <c r="N79" s="26"/>
    </row>
    <row r="80" spans="1:14">
      <c r="A80" s="26">
        <v>222101</v>
      </c>
      <c r="B80" s="27" t="s">
        <v>270</v>
      </c>
      <c r="C80" s="26" t="s">
        <v>126</v>
      </c>
      <c r="D80" s="27" t="s">
        <v>127</v>
      </c>
      <c r="G80" s="28">
        <v>7263.47</v>
      </c>
      <c r="H80" s="26">
        <v>0</v>
      </c>
      <c r="I80" s="26">
        <v>25</v>
      </c>
      <c r="J80" s="36">
        <v>1</v>
      </c>
      <c r="K80" s="34">
        <v>2014</v>
      </c>
      <c r="L80" s="34">
        <v>1</v>
      </c>
      <c r="M80" s="34">
        <v>20</v>
      </c>
      <c r="N80" s="26"/>
    </row>
    <row r="81" spans="1:14">
      <c r="A81" s="26">
        <v>100201</v>
      </c>
      <c r="B81" s="27" t="s">
        <v>270</v>
      </c>
      <c r="C81" s="26" t="s">
        <v>47</v>
      </c>
      <c r="D81" s="27" t="s">
        <v>48</v>
      </c>
      <c r="G81" s="28">
        <v>0</v>
      </c>
      <c r="H81" s="26">
        <v>7263.47</v>
      </c>
      <c r="I81" s="26">
        <v>25</v>
      </c>
      <c r="J81" s="36">
        <v>1</v>
      </c>
      <c r="K81" s="34">
        <v>2014</v>
      </c>
      <c r="L81" s="34">
        <v>1</v>
      </c>
      <c r="M81" s="34">
        <v>20</v>
      </c>
      <c r="N81" s="26"/>
    </row>
    <row r="82" spans="1:14">
      <c r="A82" s="26">
        <v>222105</v>
      </c>
      <c r="B82" s="27" t="s">
        <v>271</v>
      </c>
      <c r="C82" s="26" t="s">
        <v>126</v>
      </c>
      <c r="D82" s="27" t="s">
        <v>131</v>
      </c>
      <c r="G82" s="28">
        <v>41.8</v>
      </c>
      <c r="H82" s="26">
        <v>0</v>
      </c>
      <c r="I82" s="26">
        <v>26</v>
      </c>
      <c r="J82" s="36">
        <v>2</v>
      </c>
      <c r="K82" s="34">
        <v>2014</v>
      </c>
      <c r="L82" s="34">
        <v>1</v>
      </c>
      <c r="M82" s="34">
        <v>20</v>
      </c>
      <c r="N82" s="26"/>
    </row>
    <row r="83" spans="1:14">
      <c r="A83" s="26">
        <v>100201</v>
      </c>
      <c r="B83" s="27" t="s">
        <v>271</v>
      </c>
      <c r="C83" s="26" t="s">
        <v>47</v>
      </c>
      <c r="D83" s="27" t="s">
        <v>48</v>
      </c>
      <c r="G83" s="28">
        <v>0</v>
      </c>
      <c r="H83" s="26">
        <v>41.8</v>
      </c>
      <c r="I83" s="26">
        <v>26</v>
      </c>
      <c r="J83" s="36">
        <v>2</v>
      </c>
      <c r="K83" s="34">
        <v>2014</v>
      </c>
      <c r="L83" s="34">
        <v>1</v>
      </c>
      <c r="M83" s="34">
        <v>20</v>
      </c>
      <c r="N83" s="26"/>
    </row>
    <row r="84" spans="1:14">
      <c r="A84" s="26">
        <v>222103</v>
      </c>
      <c r="B84" s="27" t="s">
        <v>272</v>
      </c>
      <c r="C84" s="26" t="s">
        <v>126</v>
      </c>
      <c r="D84" s="27" t="s">
        <v>129</v>
      </c>
      <c r="G84" s="28">
        <v>539.07</v>
      </c>
      <c r="H84" s="26">
        <v>0</v>
      </c>
      <c r="I84" s="26">
        <v>27</v>
      </c>
      <c r="J84" s="36">
        <v>2</v>
      </c>
      <c r="K84" s="34">
        <v>2014</v>
      </c>
      <c r="L84" s="34">
        <v>1</v>
      </c>
      <c r="M84" s="34">
        <v>20</v>
      </c>
      <c r="N84" s="26"/>
    </row>
    <row r="85" spans="1:14">
      <c r="A85" s="26">
        <v>222104</v>
      </c>
      <c r="B85" s="27" t="s">
        <v>272</v>
      </c>
      <c r="C85" s="26" t="s">
        <v>126</v>
      </c>
      <c r="D85" s="27" t="s">
        <v>130</v>
      </c>
      <c r="G85" s="28">
        <v>385.05</v>
      </c>
      <c r="H85" s="26">
        <v>0</v>
      </c>
      <c r="I85" s="26">
        <v>27</v>
      </c>
      <c r="J85" s="36">
        <v>2</v>
      </c>
      <c r="K85" s="34">
        <v>2014</v>
      </c>
      <c r="L85" s="34">
        <v>1</v>
      </c>
      <c r="M85" s="34">
        <v>20</v>
      </c>
      <c r="N85" s="26"/>
    </row>
    <row r="86" spans="1:14">
      <c r="A86" s="26">
        <v>540304</v>
      </c>
      <c r="B86" s="27" t="s">
        <v>273</v>
      </c>
      <c r="C86" s="26" t="s">
        <v>165</v>
      </c>
      <c r="D86" s="27" t="s">
        <v>128</v>
      </c>
      <c r="G86" s="28">
        <v>-437.5</v>
      </c>
      <c r="H86" s="26">
        <v>0</v>
      </c>
      <c r="I86" s="26">
        <v>27</v>
      </c>
      <c r="J86" s="36">
        <v>2</v>
      </c>
      <c r="K86" s="34">
        <v>2014</v>
      </c>
      <c r="L86" s="34">
        <v>1</v>
      </c>
      <c r="M86" s="34">
        <v>20</v>
      </c>
      <c r="N86" s="26"/>
    </row>
    <row r="87" spans="1:14">
      <c r="A87" s="26">
        <v>222102</v>
      </c>
      <c r="B87" s="27" t="s">
        <v>273</v>
      </c>
      <c r="C87" s="26" t="s">
        <v>126</v>
      </c>
      <c r="D87" s="27" t="s">
        <v>128</v>
      </c>
      <c r="G87" s="28">
        <v>0</v>
      </c>
      <c r="H87" s="26">
        <v>-437.5</v>
      </c>
      <c r="I87" s="26">
        <v>27</v>
      </c>
      <c r="J87" s="36">
        <v>2</v>
      </c>
      <c r="K87" s="34">
        <v>2014</v>
      </c>
      <c r="L87" s="34">
        <v>1</v>
      </c>
      <c r="M87" s="34">
        <v>20</v>
      </c>
      <c r="N87" s="26"/>
    </row>
    <row r="88" spans="1:14">
      <c r="A88" s="26">
        <v>100201</v>
      </c>
      <c r="B88" s="27" t="s">
        <v>274</v>
      </c>
      <c r="C88" s="26" t="s">
        <v>47</v>
      </c>
      <c r="D88" s="27" t="s">
        <v>48</v>
      </c>
      <c r="G88" s="28">
        <v>0</v>
      </c>
      <c r="H88" s="26">
        <v>924.12</v>
      </c>
      <c r="I88" s="26">
        <v>27</v>
      </c>
      <c r="J88" s="36">
        <v>2</v>
      </c>
      <c r="K88" s="34">
        <v>2014</v>
      </c>
      <c r="L88" s="34">
        <v>1</v>
      </c>
      <c r="M88" s="34">
        <v>20</v>
      </c>
      <c r="N88" s="26"/>
    </row>
    <row r="89" spans="1:14">
      <c r="A89" s="26">
        <v>560206</v>
      </c>
      <c r="B89" s="27" t="s">
        <v>275</v>
      </c>
      <c r="C89" s="26" t="s">
        <v>166</v>
      </c>
      <c r="D89" s="27" t="s">
        <v>172</v>
      </c>
      <c r="G89" s="28">
        <v>101</v>
      </c>
      <c r="H89" s="26">
        <v>0</v>
      </c>
      <c r="I89" s="26">
        <v>28</v>
      </c>
      <c r="J89" s="36">
        <v>2</v>
      </c>
      <c r="K89" s="34">
        <v>2014</v>
      </c>
      <c r="L89" s="34">
        <v>1</v>
      </c>
      <c r="M89" s="34">
        <v>20</v>
      </c>
      <c r="N89" s="26"/>
    </row>
    <row r="90" spans="1:14">
      <c r="A90" s="26">
        <v>224104</v>
      </c>
      <c r="B90" s="27" t="s">
        <v>276</v>
      </c>
      <c r="C90" s="26" t="s">
        <v>140</v>
      </c>
      <c r="D90" s="27" t="s">
        <v>142</v>
      </c>
      <c r="G90" s="28">
        <v>139.34</v>
      </c>
      <c r="H90" s="26">
        <v>0</v>
      </c>
      <c r="I90" s="26">
        <v>28</v>
      </c>
      <c r="J90" s="36">
        <v>2</v>
      </c>
      <c r="K90" s="34">
        <v>2014</v>
      </c>
      <c r="L90" s="34">
        <v>1</v>
      </c>
      <c r="M90" s="34">
        <v>20</v>
      </c>
      <c r="N90" s="26"/>
    </row>
    <row r="91" spans="1:14">
      <c r="A91" s="26">
        <v>100201</v>
      </c>
      <c r="B91" s="27" t="s">
        <v>276</v>
      </c>
      <c r="C91" s="26" t="s">
        <v>47</v>
      </c>
      <c r="D91" s="27" t="s">
        <v>48</v>
      </c>
      <c r="G91" s="28">
        <v>0</v>
      </c>
      <c r="H91" s="26">
        <v>240.34</v>
      </c>
      <c r="I91" s="26">
        <v>28</v>
      </c>
      <c r="J91" s="36">
        <v>2</v>
      </c>
      <c r="K91" s="34">
        <v>2014</v>
      </c>
      <c r="L91" s="34">
        <v>1</v>
      </c>
      <c r="M91" s="34">
        <v>20</v>
      </c>
      <c r="N91" s="26"/>
    </row>
    <row r="92" spans="1:14">
      <c r="A92" s="26">
        <v>100201</v>
      </c>
      <c r="B92" s="27" t="s">
        <v>277</v>
      </c>
      <c r="C92" s="26" t="s">
        <v>47</v>
      </c>
      <c r="D92" s="27" t="s">
        <v>48</v>
      </c>
      <c r="G92" s="28">
        <v>0</v>
      </c>
      <c r="H92" s="26">
        <v>20000</v>
      </c>
      <c r="I92" s="26">
        <v>29</v>
      </c>
      <c r="J92" s="36">
        <v>1</v>
      </c>
      <c r="K92" s="34">
        <v>2014</v>
      </c>
      <c r="L92" s="34">
        <v>1</v>
      </c>
      <c r="M92" s="34">
        <v>21</v>
      </c>
      <c r="N92" s="26"/>
    </row>
    <row r="93" spans="1:14">
      <c r="A93" s="26">
        <v>224101</v>
      </c>
      <c r="B93" s="27" t="s">
        <v>277</v>
      </c>
      <c r="C93" s="26" t="s">
        <v>140</v>
      </c>
      <c r="D93" s="27" t="s">
        <v>12</v>
      </c>
      <c r="G93" s="28">
        <v>20000</v>
      </c>
      <c r="H93" s="26">
        <v>0</v>
      </c>
      <c r="I93" s="26">
        <v>29</v>
      </c>
      <c r="J93" s="36">
        <v>1</v>
      </c>
      <c r="K93" s="34">
        <v>2014</v>
      </c>
      <c r="L93" s="34">
        <v>1</v>
      </c>
      <c r="M93" s="34">
        <v>21</v>
      </c>
      <c r="N93" s="26"/>
    </row>
    <row r="94" spans="1:14">
      <c r="A94" s="26">
        <v>540101</v>
      </c>
      <c r="B94" s="27" t="s">
        <v>278</v>
      </c>
      <c r="C94" s="26" t="s">
        <v>161</v>
      </c>
      <c r="D94" s="27" t="s">
        <v>162</v>
      </c>
      <c r="G94" s="28">
        <v>19500</v>
      </c>
      <c r="H94" s="26">
        <v>0</v>
      </c>
      <c r="I94" s="26">
        <v>30</v>
      </c>
      <c r="J94" s="36">
        <v>2</v>
      </c>
      <c r="K94" s="34">
        <v>2014</v>
      </c>
      <c r="L94" s="34">
        <v>1</v>
      </c>
      <c r="M94" s="34">
        <v>21</v>
      </c>
      <c r="N94" s="26"/>
    </row>
    <row r="95" spans="1:14">
      <c r="A95" s="26">
        <v>112304</v>
      </c>
      <c r="B95" s="27" t="s">
        <v>278</v>
      </c>
      <c r="C95" s="26" t="s">
        <v>64</v>
      </c>
      <c r="D95" s="27" t="s">
        <v>68</v>
      </c>
      <c r="G95" s="28">
        <v>0</v>
      </c>
      <c r="H95" s="26">
        <v>19500</v>
      </c>
      <c r="I95" s="26">
        <v>30</v>
      </c>
      <c r="J95" s="36">
        <v>2</v>
      </c>
      <c r="K95" s="34">
        <v>2014</v>
      </c>
      <c r="L95" s="34">
        <v>1</v>
      </c>
      <c r="M95" s="34">
        <v>21</v>
      </c>
      <c r="N95" s="26"/>
    </row>
    <row r="96" spans="1:14">
      <c r="A96" s="26">
        <v>112311</v>
      </c>
      <c r="B96" s="27" t="s">
        <v>279</v>
      </c>
      <c r="C96" s="26" t="s">
        <v>64</v>
      </c>
      <c r="D96" s="27" t="s">
        <v>70</v>
      </c>
      <c r="G96" s="28">
        <v>44350</v>
      </c>
      <c r="H96" s="26">
        <v>0</v>
      </c>
      <c r="I96" s="26">
        <v>31</v>
      </c>
      <c r="J96" s="36">
        <v>5</v>
      </c>
      <c r="K96" s="34">
        <v>2014</v>
      </c>
      <c r="L96" s="34">
        <v>1</v>
      </c>
      <c r="M96" s="34">
        <v>22</v>
      </c>
      <c r="N96" s="26"/>
    </row>
    <row r="97" spans="1:14">
      <c r="A97" s="26">
        <v>112311</v>
      </c>
      <c r="B97" s="27" t="s">
        <v>280</v>
      </c>
      <c r="C97" s="26" t="s">
        <v>64</v>
      </c>
      <c r="D97" s="27" t="s">
        <v>70</v>
      </c>
      <c r="G97" s="28">
        <v>9000</v>
      </c>
      <c r="H97" s="26">
        <v>0</v>
      </c>
      <c r="I97" s="26">
        <v>31</v>
      </c>
      <c r="J97" s="36">
        <v>5</v>
      </c>
      <c r="K97" s="34">
        <v>2014</v>
      </c>
      <c r="L97" s="34">
        <v>1</v>
      </c>
      <c r="M97" s="34">
        <v>22</v>
      </c>
      <c r="N97" s="26"/>
    </row>
    <row r="98" spans="1:14">
      <c r="A98" s="26">
        <v>112311</v>
      </c>
      <c r="B98" s="27" t="s">
        <v>281</v>
      </c>
      <c r="C98" s="26" t="s">
        <v>64</v>
      </c>
      <c r="D98" s="27" t="s">
        <v>70</v>
      </c>
      <c r="G98" s="28">
        <v>3200</v>
      </c>
      <c r="H98" s="26">
        <v>0</v>
      </c>
      <c r="I98" s="26">
        <v>31</v>
      </c>
      <c r="J98" s="36">
        <v>5</v>
      </c>
      <c r="K98" s="34">
        <v>2014</v>
      </c>
      <c r="L98" s="34">
        <v>1</v>
      </c>
      <c r="M98" s="34">
        <v>22</v>
      </c>
      <c r="N98" s="26"/>
    </row>
    <row r="99" spans="1:14">
      <c r="A99" s="26">
        <v>112311</v>
      </c>
      <c r="B99" s="27" t="s">
        <v>282</v>
      </c>
      <c r="C99" s="26" t="s">
        <v>64</v>
      </c>
      <c r="D99" s="27" t="s">
        <v>70</v>
      </c>
      <c r="G99" s="28">
        <v>800</v>
      </c>
      <c r="H99" s="26">
        <v>0</v>
      </c>
      <c r="I99" s="26">
        <v>31</v>
      </c>
      <c r="J99" s="36">
        <v>5</v>
      </c>
      <c r="K99" s="34">
        <v>2014</v>
      </c>
      <c r="L99" s="34">
        <v>1</v>
      </c>
      <c r="M99" s="34">
        <v>22</v>
      </c>
      <c r="N99" s="26"/>
    </row>
    <row r="100" spans="1:14">
      <c r="A100" s="26">
        <v>100201</v>
      </c>
      <c r="B100" s="27" t="s">
        <v>283</v>
      </c>
      <c r="C100" s="26" t="s">
        <v>47</v>
      </c>
      <c r="D100" s="27" t="s">
        <v>48</v>
      </c>
      <c r="G100" s="28">
        <v>0</v>
      </c>
      <c r="H100" s="26">
        <v>57350</v>
      </c>
      <c r="I100" s="26">
        <v>31</v>
      </c>
      <c r="J100" s="36">
        <v>5</v>
      </c>
      <c r="K100" s="34">
        <v>2014</v>
      </c>
      <c r="L100" s="34">
        <v>1</v>
      </c>
      <c r="M100" s="34">
        <v>22</v>
      </c>
      <c r="N100" s="26"/>
    </row>
    <row r="101" spans="1:14">
      <c r="A101" s="26">
        <v>560206</v>
      </c>
      <c r="B101" s="27" t="s">
        <v>284</v>
      </c>
      <c r="C101" s="26" t="s">
        <v>166</v>
      </c>
      <c r="D101" s="27" t="s">
        <v>172</v>
      </c>
      <c r="G101" s="28">
        <v>18200</v>
      </c>
      <c r="H101" s="26">
        <v>0</v>
      </c>
      <c r="I101" s="26">
        <v>32</v>
      </c>
      <c r="J101" s="36">
        <v>6</v>
      </c>
      <c r="K101" s="34">
        <v>2014</v>
      </c>
      <c r="L101" s="34">
        <v>1</v>
      </c>
      <c r="M101" s="34">
        <v>22</v>
      </c>
      <c r="N101" s="26"/>
    </row>
    <row r="102" spans="1:14">
      <c r="A102" s="26">
        <v>560203</v>
      </c>
      <c r="B102" s="27" t="s">
        <v>243</v>
      </c>
      <c r="C102" s="26" t="s">
        <v>166</v>
      </c>
      <c r="D102" s="27" t="s">
        <v>169</v>
      </c>
      <c r="G102" s="28">
        <v>200</v>
      </c>
      <c r="H102" s="26">
        <v>0</v>
      </c>
      <c r="I102" s="26">
        <v>32</v>
      </c>
      <c r="J102" s="36">
        <v>6</v>
      </c>
      <c r="K102" s="34">
        <v>2014</v>
      </c>
      <c r="L102" s="34">
        <v>1</v>
      </c>
      <c r="M102" s="34">
        <v>22</v>
      </c>
      <c r="N102" s="26"/>
    </row>
    <row r="103" spans="1:14">
      <c r="A103" s="26">
        <v>221103</v>
      </c>
      <c r="B103" s="27" t="s">
        <v>285</v>
      </c>
      <c r="C103" s="26" t="s">
        <v>113</v>
      </c>
      <c r="D103" s="27" t="s">
        <v>116</v>
      </c>
      <c r="G103" s="28">
        <v>2306.9</v>
      </c>
      <c r="H103" s="26">
        <v>0</v>
      </c>
      <c r="I103" s="26">
        <v>32</v>
      </c>
      <c r="J103" s="36">
        <v>6</v>
      </c>
      <c r="K103" s="34">
        <v>2014</v>
      </c>
      <c r="L103" s="34">
        <v>1</v>
      </c>
      <c r="M103" s="34">
        <v>22</v>
      </c>
      <c r="N103" s="26"/>
    </row>
    <row r="104" spans="1:14">
      <c r="A104" s="26">
        <v>100201</v>
      </c>
      <c r="B104" s="27" t="s">
        <v>286</v>
      </c>
      <c r="C104" s="26" t="s">
        <v>47</v>
      </c>
      <c r="D104" s="27" t="s">
        <v>48</v>
      </c>
      <c r="G104" s="28">
        <v>0</v>
      </c>
      <c r="H104" s="26">
        <v>20706.9</v>
      </c>
      <c r="I104" s="26">
        <v>32</v>
      </c>
      <c r="J104" s="36">
        <v>6</v>
      </c>
      <c r="K104" s="34">
        <v>2014</v>
      </c>
      <c r="L104" s="34">
        <v>1</v>
      </c>
      <c r="M104" s="34">
        <v>22</v>
      </c>
      <c r="N104" s="26"/>
    </row>
    <row r="105" spans="1:14">
      <c r="A105" s="26">
        <v>112204</v>
      </c>
      <c r="B105" s="27" t="s">
        <v>287</v>
      </c>
      <c r="C105" s="26" t="s">
        <v>49</v>
      </c>
      <c r="D105" s="27" t="s">
        <v>255</v>
      </c>
      <c r="G105" s="28">
        <v>2000</v>
      </c>
      <c r="H105" s="26">
        <v>0</v>
      </c>
      <c r="I105" s="26">
        <v>33</v>
      </c>
      <c r="J105" s="36">
        <v>1</v>
      </c>
      <c r="K105" s="34">
        <v>2014</v>
      </c>
      <c r="L105" s="34">
        <v>1</v>
      </c>
      <c r="M105" s="34">
        <v>22</v>
      </c>
      <c r="N105" s="26"/>
    </row>
    <row r="106" spans="1:14">
      <c r="A106" s="26">
        <v>500102</v>
      </c>
      <c r="B106" s="27" t="s">
        <v>288</v>
      </c>
      <c r="C106" s="26" t="s">
        <v>157</v>
      </c>
      <c r="D106" s="27" t="s">
        <v>159</v>
      </c>
      <c r="G106" s="28">
        <v>0</v>
      </c>
      <c r="H106" s="26">
        <v>2000</v>
      </c>
      <c r="I106" s="26">
        <v>33</v>
      </c>
      <c r="J106" s="36">
        <v>1</v>
      </c>
      <c r="K106" s="34">
        <v>2014</v>
      </c>
      <c r="L106" s="34">
        <v>1</v>
      </c>
      <c r="M106" s="34">
        <v>22</v>
      </c>
      <c r="N106" s="26"/>
    </row>
    <row r="107" spans="1:14">
      <c r="A107" s="26">
        <v>560201</v>
      </c>
      <c r="B107" s="27" t="s">
        <v>289</v>
      </c>
      <c r="C107" s="26" t="s">
        <v>166</v>
      </c>
      <c r="D107" s="27" t="s">
        <v>235</v>
      </c>
      <c r="G107" s="28">
        <v>8670.84</v>
      </c>
      <c r="H107" s="26">
        <v>0</v>
      </c>
      <c r="I107" s="26">
        <v>34</v>
      </c>
      <c r="J107" s="36">
        <v>1</v>
      </c>
      <c r="K107" s="34">
        <v>2014</v>
      </c>
      <c r="L107" s="34">
        <v>1</v>
      </c>
      <c r="M107" s="34">
        <v>22</v>
      </c>
      <c r="N107" s="26"/>
    </row>
    <row r="108" spans="1:14">
      <c r="A108" s="26">
        <v>560203</v>
      </c>
      <c r="B108" s="27" t="s">
        <v>290</v>
      </c>
      <c r="C108" s="26" t="s">
        <v>166</v>
      </c>
      <c r="D108" s="27" t="s">
        <v>169</v>
      </c>
      <c r="G108" s="28">
        <v>200</v>
      </c>
      <c r="H108" s="26">
        <v>0</v>
      </c>
      <c r="I108" s="26">
        <v>34</v>
      </c>
      <c r="J108" s="36">
        <v>1</v>
      </c>
      <c r="K108" s="34">
        <v>2014</v>
      </c>
      <c r="L108" s="34">
        <v>1</v>
      </c>
      <c r="M108" s="34">
        <v>22</v>
      </c>
      <c r="N108" s="26"/>
    </row>
    <row r="109" spans="1:14">
      <c r="A109" s="26">
        <v>540102</v>
      </c>
      <c r="B109" s="27" t="s">
        <v>289</v>
      </c>
      <c r="C109" s="26" t="s">
        <v>161</v>
      </c>
      <c r="D109" s="27" t="s">
        <v>163</v>
      </c>
      <c r="G109" s="28">
        <v>6340.84</v>
      </c>
      <c r="H109" s="26">
        <v>0</v>
      </c>
      <c r="I109" s="26">
        <v>34</v>
      </c>
      <c r="J109" s="36">
        <v>1</v>
      </c>
      <c r="K109" s="34">
        <v>2014</v>
      </c>
      <c r="L109" s="34">
        <v>1</v>
      </c>
      <c r="M109" s="34">
        <v>22</v>
      </c>
      <c r="N109" s="26"/>
    </row>
    <row r="110" spans="1:14">
      <c r="A110" s="26">
        <v>221101</v>
      </c>
      <c r="B110" s="27" t="s">
        <v>289</v>
      </c>
      <c r="C110" s="26" t="s">
        <v>113</v>
      </c>
      <c r="D110" s="27" t="s">
        <v>114</v>
      </c>
      <c r="G110" s="28">
        <v>0</v>
      </c>
      <c r="H110" s="26">
        <v>13500</v>
      </c>
      <c r="I110" s="26">
        <v>34</v>
      </c>
      <c r="J110" s="36">
        <v>1</v>
      </c>
      <c r="K110" s="34">
        <v>2014</v>
      </c>
      <c r="L110" s="34">
        <v>1</v>
      </c>
      <c r="M110" s="34">
        <v>22</v>
      </c>
      <c r="N110" s="26"/>
    </row>
    <row r="111" spans="1:14">
      <c r="A111" s="26">
        <v>221102</v>
      </c>
      <c r="B111" s="27" t="s">
        <v>290</v>
      </c>
      <c r="C111" s="26" t="s">
        <v>113</v>
      </c>
      <c r="D111" s="27" t="s">
        <v>115</v>
      </c>
      <c r="G111" s="28">
        <v>0</v>
      </c>
      <c r="H111" s="26">
        <v>370</v>
      </c>
      <c r="I111" s="26">
        <v>34</v>
      </c>
      <c r="J111" s="36">
        <v>1</v>
      </c>
      <c r="K111" s="34">
        <v>2014</v>
      </c>
      <c r="L111" s="34">
        <v>1</v>
      </c>
      <c r="M111" s="34">
        <v>22</v>
      </c>
      <c r="N111" s="26"/>
    </row>
    <row r="112" spans="1:14">
      <c r="A112" s="26">
        <v>221104</v>
      </c>
      <c r="B112" s="27" t="s">
        <v>289</v>
      </c>
      <c r="C112" s="26" t="s">
        <v>113</v>
      </c>
      <c r="D112" s="27" t="s">
        <v>117</v>
      </c>
      <c r="G112" s="28">
        <v>0</v>
      </c>
      <c r="H112" s="26">
        <v>1341.68</v>
      </c>
      <c r="I112" s="26">
        <v>34</v>
      </c>
      <c r="J112" s="36">
        <v>1</v>
      </c>
      <c r="K112" s="34">
        <v>2014</v>
      </c>
      <c r="L112" s="34">
        <v>1</v>
      </c>
      <c r="M112" s="34">
        <v>22</v>
      </c>
      <c r="N112" s="26"/>
    </row>
    <row r="113" spans="1:14">
      <c r="A113" s="26">
        <v>560202</v>
      </c>
      <c r="B113" s="27" t="s">
        <v>291</v>
      </c>
      <c r="C113" s="26" t="s">
        <v>166</v>
      </c>
      <c r="D113" s="27" t="s">
        <v>168</v>
      </c>
      <c r="G113" s="28">
        <v>519.01</v>
      </c>
      <c r="H113" s="26">
        <v>0</v>
      </c>
      <c r="I113" s="26">
        <v>35</v>
      </c>
      <c r="J113" s="36">
        <v>1</v>
      </c>
      <c r="K113" s="34">
        <v>2014</v>
      </c>
      <c r="L113" s="34">
        <v>1</v>
      </c>
      <c r="M113" s="34">
        <v>22</v>
      </c>
      <c r="N113" s="26"/>
    </row>
    <row r="114" spans="1:14">
      <c r="A114" s="26">
        <v>160201</v>
      </c>
      <c r="B114" s="27" t="s">
        <v>291</v>
      </c>
      <c r="C114" s="26" t="s">
        <v>99</v>
      </c>
      <c r="D114" s="27" t="s">
        <v>92</v>
      </c>
      <c r="G114" s="28">
        <v>0</v>
      </c>
      <c r="H114" s="26">
        <v>88.89</v>
      </c>
      <c r="I114" s="26">
        <v>35</v>
      </c>
      <c r="J114" s="36">
        <v>1</v>
      </c>
      <c r="K114" s="34">
        <v>2014</v>
      </c>
      <c r="L114" s="34">
        <v>1</v>
      </c>
      <c r="M114" s="34">
        <v>22</v>
      </c>
      <c r="N114" s="26"/>
    </row>
    <row r="115" spans="1:14">
      <c r="A115" s="26">
        <v>160202</v>
      </c>
      <c r="B115" s="27" t="s">
        <v>291</v>
      </c>
      <c r="C115" s="26" t="s">
        <v>99</v>
      </c>
      <c r="D115" s="27" t="s">
        <v>93</v>
      </c>
      <c r="G115" s="28">
        <v>0</v>
      </c>
      <c r="H115" s="26">
        <v>122.22</v>
      </c>
      <c r="I115" s="26">
        <v>35</v>
      </c>
      <c r="J115" s="36">
        <v>1</v>
      </c>
      <c r="K115" s="34">
        <v>2014</v>
      </c>
      <c r="L115" s="34">
        <v>1</v>
      </c>
      <c r="M115" s="34">
        <v>22</v>
      </c>
      <c r="N115" s="26"/>
    </row>
    <row r="116" spans="1:14">
      <c r="A116" s="26">
        <v>160203</v>
      </c>
      <c r="B116" s="27" t="s">
        <v>291</v>
      </c>
      <c r="C116" s="26" t="s">
        <v>99</v>
      </c>
      <c r="D116" s="27" t="s">
        <v>94</v>
      </c>
      <c r="G116" s="28">
        <v>0</v>
      </c>
      <c r="H116" s="26">
        <v>106.92</v>
      </c>
      <c r="I116" s="26">
        <v>35</v>
      </c>
      <c r="J116" s="36">
        <v>1</v>
      </c>
      <c r="K116" s="34">
        <v>2014</v>
      </c>
      <c r="L116" s="34">
        <v>1</v>
      </c>
      <c r="M116" s="34">
        <v>22</v>
      </c>
      <c r="N116" s="26"/>
    </row>
    <row r="117" spans="1:14">
      <c r="A117" s="26">
        <v>160204</v>
      </c>
      <c r="B117" s="27" t="s">
        <v>291</v>
      </c>
      <c r="C117" s="26" t="s">
        <v>99</v>
      </c>
      <c r="D117" s="27" t="s">
        <v>95</v>
      </c>
      <c r="G117" s="28">
        <v>0</v>
      </c>
      <c r="H117" s="26">
        <v>58.27</v>
      </c>
      <c r="I117" s="26">
        <v>35</v>
      </c>
      <c r="J117" s="36">
        <v>1</v>
      </c>
      <c r="K117" s="34">
        <v>2014</v>
      </c>
      <c r="L117" s="34">
        <v>1</v>
      </c>
      <c r="M117" s="34">
        <v>22</v>
      </c>
      <c r="N117" s="26"/>
    </row>
    <row r="118" spans="1:14">
      <c r="A118" s="26">
        <v>160205</v>
      </c>
      <c r="B118" s="27" t="s">
        <v>291</v>
      </c>
      <c r="C118" s="26" t="s">
        <v>99</v>
      </c>
      <c r="D118" s="27" t="s">
        <v>96</v>
      </c>
      <c r="G118" s="28">
        <v>0</v>
      </c>
      <c r="H118" s="26">
        <v>69.39</v>
      </c>
      <c r="I118" s="26">
        <v>35</v>
      </c>
      <c r="J118" s="36">
        <v>1</v>
      </c>
      <c r="K118" s="34">
        <v>2014</v>
      </c>
      <c r="L118" s="34">
        <v>1</v>
      </c>
      <c r="M118" s="34">
        <v>22</v>
      </c>
      <c r="N118" s="26"/>
    </row>
    <row r="119" spans="1:14">
      <c r="A119" s="26">
        <v>160206</v>
      </c>
      <c r="B119" s="27" t="s">
        <v>291</v>
      </c>
      <c r="C119" s="26" t="s">
        <v>99</v>
      </c>
      <c r="D119" s="27" t="s">
        <v>97</v>
      </c>
      <c r="G119" s="28">
        <v>0</v>
      </c>
      <c r="H119" s="26">
        <v>73.32</v>
      </c>
      <c r="I119" s="26">
        <v>35</v>
      </c>
      <c r="J119" s="36">
        <v>1</v>
      </c>
      <c r="K119" s="34">
        <v>2014</v>
      </c>
      <c r="L119" s="34">
        <v>1</v>
      </c>
      <c r="M119" s="34">
        <v>22</v>
      </c>
      <c r="N119" s="26"/>
    </row>
    <row r="120" spans="1:14">
      <c r="A120" s="26">
        <v>560205</v>
      </c>
      <c r="B120" s="27" t="s">
        <v>292</v>
      </c>
      <c r="C120" s="26" t="s">
        <v>166</v>
      </c>
      <c r="D120" s="27" t="s">
        <v>171</v>
      </c>
      <c r="G120" s="28">
        <v>150.48</v>
      </c>
      <c r="H120" s="26">
        <v>0</v>
      </c>
      <c r="I120" s="26">
        <v>36</v>
      </c>
      <c r="J120" s="36">
        <v>1</v>
      </c>
      <c r="K120" s="34">
        <v>2014</v>
      </c>
      <c r="L120" s="34">
        <v>1</v>
      </c>
      <c r="M120" s="34">
        <v>22</v>
      </c>
      <c r="N120" s="26"/>
    </row>
    <row r="121" spans="1:14">
      <c r="A121" s="26">
        <v>177701</v>
      </c>
      <c r="B121" s="27" t="s">
        <v>292</v>
      </c>
      <c r="C121" s="26" t="s">
        <v>100</v>
      </c>
      <c r="D121" s="27" t="s">
        <v>199</v>
      </c>
      <c r="G121" s="28">
        <v>0</v>
      </c>
      <c r="H121" s="26">
        <v>150.48</v>
      </c>
      <c r="I121" s="26">
        <v>36</v>
      </c>
      <c r="J121" s="36">
        <v>1</v>
      </c>
      <c r="K121" s="34">
        <v>2014</v>
      </c>
      <c r="L121" s="34">
        <v>1</v>
      </c>
      <c r="M121" s="34">
        <v>22</v>
      </c>
      <c r="N121" s="26"/>
    </row>
    <row r="122" spans="1:14">
      <c r="A122" s="26">
        <v>500103</v>
      </c>
      <c r="B122" s="27" t="s">
        <v>293</v>
      </c>
      <c r="C122" s="26" t="s">
        <v>157</v>
      </c>
      <c r="D122" s="27" t="s">
        <v>160</v>
      </c>
      <c r="G122" s="28">
        <v>0</v>
      </c>
      <c r="H122" s="26">
        <v>190000</v>
      </c>
      <c r="I122" s="26">
        <v>37</v>
      </c>
      <c r="J122" s="36">
        <v>1</v>
      </c>
      <c r="K122" s="34">
        <v>2014</v>
      </c>
      <c r="L122" s="34">
        <v>1</v>
      </c>
      <c r="M122" s="34">
        <v>22</v>
      </c>
      <c r="N122" s="26"/>
    </row>
    <row r="123" spans="1:14">
      <c r="A123" s="26">
        <v>220303</v>
      </c>
      <c r="B123" s="27" t="s">
        <v>294</v>
      </c>
      <c r="C123" s="26" t="s">
        <v>107</v>
      </c>
      <c r="D123" s="27" t="s">
        <v>109</v>
      </c>
      <c r="G123" s="28">
        <v>190000</v>
      </c>
      <c r="H123" s="26">
        <v>0</v>
      </c>
      <c r="I123" s="26">
        <v>37</v>
      </c>
      <c r="J123" s="36">
        <v>1</v>
      </c>
      <c r="K123" s="34">
        <v>2014</v>
      </c>
      <c r="L123" s="34">
        <v>1</v>
      </c>
      <c r="M123" s="34">
        <v>22</v>
      </c>
      <c r="N123" s="26"/>
    </row>
    <row r="124" spans="1:14">
      <c r="A124" s="26">
        <v>100201</v>
      </c>
      <c r="B124" s="27" t="s">
        <v>295</v>
      </c>
      <c r="C124" s="26" t="s">
        <v>47</v>
      </c>
      <c r="D124" s="27" t="s">
        <v>48</v>
      </c>
      <c r="G124" s="28">
        <v>0</v>
      </c>
      <c r="H124" s="26">
        <v>20000</v>
      </c>
      <c r="I124" s="26">
        <v>38</v>
      </c>
      <c r="J124" s="36">
        <v>1</v>
      </c>
      <c r="K124" s="34">
        <v>2014</v>
      </c>
      <c r="L124" s="34">
        <v>1</v>
      </c>
      <c r="M124" s="34">
        <v>22</v>
      </c>
      <c r="N124" s="26"/>
    </row>
    <row r="125" spans="1:14">
      <c r="A125" s="26">
        <v>100101</v>
      </c>
      <c r="B125" s="27" t="s">
        <v>296</v>
      </c>
      <c r="C125" s="26" t="s">
        <v>46</v>
      </c>
      <c r="D125" s="27" t="s">
        <v>199</v>
      </c>
      <c r="G125" s="28">
        <v>20000</v>
      </c>
      <c r="H125" s="26">
        <v>0</v>
      </c>
      <c r="I125" s="26">
        <v>38</v>
      </c>
      <c r="J125" s="36">
        <v>1</v>
      </c>
      <c r="K125" s="34">
        <v>2014</v>
      </c>
      <c r="L125" s="34">
        <v>1</v>
      </c>
      <c r="M125" s="34">
        <v>22</v>
      </c>
      <c r="N125" s="26"/>
    </row>
    <row r="126" spans="1:14">
      <c r="A126" s="26">
        <v>540103</v>
      </c>
      <c r="B126" s="27" t="s">
        <v>297</v>
      </c>
      <c r="C126" s="26" t="s">
        <v>161</v>
      </c>
      <c r="D126" s="27" t="s">
        <v>164</v>
      </c>
      <c r="G126" s="28">
        <v>164500</v>
      </c>
      <c r="H126" s="26">
        <v>0</v>
      </c>
      <c r="I126" s="26">
        <v>39</v>
      </c>
      <c r="K126" s="34">
        <v>2014</v>
      </c>
      <c r="L126" s="34">
        <v>1</v>
      </c>
      <c r="M126" s="34">
        <v>22</v>
      </c>
      <c r="N126" s="26"/>
    </row>
    <row r="127" spans="1:14">
      <c r="A127" s="26">
        <v>440101</v>
      </c>
      <c r="B127" s="27" t="s">
        <v>297</v>
      </c>
      <c r="C127" s="26" t="s">
        <v>149</v>
      </c>
      <c r="D127" s="27" t="s">
        <v>150</v>
      </c>
      <c r="G127" s="28">
        <v>0</v>
      </c>
      <c r="H127" s="26">
        <v>164500</v>
      </c>
      <c r="I127" s="26">
        <v>39</v>
      </c>
      <c r="K127" s="34">
        <v>2014</v>
      </c>
      <c r="L127" s="34">
        <v>1</v>
      </c>
      <c r="M127" s="34">
        <v>22</v>
      </c>
      <c r="N127" s="26"/>
    </row>
    <row r="128" spans="1:14">
      <c r="A128" s="26">
        <v>100101</v>
      </c>
      <c r="B128" s="27" t="s">
        <v>298</v>
      </c>
      <c r="C128" s="26" t="s">
        <v>46</v>
      </c>
      <c r="D128" s="27" t="s">
        <v>199</v>
      </c>
      <c r="G128" s="28">
        <v>2000</v>
      </c>
      <c r="H128" s="26">
        <v>0</v>
      </c>
      <c r="I128" s="26">
        <v>40</v>
      </c>
      <c r="J128" s="36">
        <v>1</v>
      </c>
      <c r="K128" s="34">
        <v>2014</v>
      </c>
      <c r="L128" s="34">
        <v>1</v>
      </c>
      <c r="M128" s="34">
        <v>22</v>
      </c>
      <c r="N128" s="26"/>
    </row>
    <row r="129" spans="1:14">
      <c r="A129" s="26">
        <v>100201</v>
      </c>
      <c r="B129" s="27" t="s">
        <v>299</v>
      </c>
      <c r="C129" s="26" t="s">
        <v>47</v>
      </c>
      <c r="D129" s="27" t="s">
        <v>48</v>
      </c>
      <c r="G129" s="28">
        <v>0</v>
      </c>
      <c r="H129" s="26">
        <v>2000</v>
      </c>
      <c r="I129" s="26">
        <v>40</v>
      </c>
      <c r="J129" s="36">
        <v>1</v>
      </c>
      <c r="K129" s="34">
        <v>2014</v>
      </c>
      <c r="L129" s="34">
        <v>1</v>
      </c>
      <c r="M129" s="34">
        <v>22</v>
      </c>
      <c r="N129" s="26"/>
    </row>
    <row r="130" spans="1:14">
      <c r="A130" s="26">
        <v>221101</v>
      </c>
      <c r="B130" s="27" t="s">
        <v>300</v>
      </c>
      <c r="C130" s="26" t="s">
        <v>113</v>
      </c>
      <c r="D130" s="27" t="s">
        <v>114</v>
      </c>
      <c r="G130" s="28">
        <v>13500</v>
      </c>
      <c r="H130" s="26">
        <v>0</v>
      </c>
      <c r="I130" s="26">
        <v>41</v>
      </c>
      <c r="J130" s="36">
        <v>2</v>
      </c>
      <c r="K130" s="34">
        <v>2014</v>
      </c>
      <c r="L130" s="34">
        <v>1</v>
      </c>
      <c r="M130" s="34">
        <v>22</v>
      </c>
      <c r="N130" s="26"/>
    </row>
    <row r="131" spans="1:14">
      <c r="A131" s="26">
        <v>221102</v>
      </c>
      <c r="B131" s="27" t="s">
        <v>301</v>
      </c>
      <c r="C131" s="26" t="s">
        <v>113</v>
      </c>
      <c r="D131" s="27" t="s">
        <v>115</v>
      </c>
      <c r="G131" s="28">
        <v>370</v>
      </c>
      <c r="H131" s="26">
        <v>0</v>
      </c>
      <c r="I131" s="26">
        <v>41</v>
      </c>
      <c r="J131" s="36">
        <v>2</v>
      </c>
      <c r="K131" s="34">
        <v>2014</v>
      </c>
      <c r="L131" s="34">
        <v>1</v>
      </c>
      <c r="M131" s="34">
        <v>22</v>
      </c>
      <c r="N131" s="26"/>
    </row>
    <row r="132" spans="1:14">
      <c r="A132" s="26">
        <v>224103</v>
      </c>
      <c r="B132" s="27" t="s">
        <v>302</v>
      </c>
      <c r="C132" s="26" t="s">
        <v>140</v>
      </c>
      <c r="D132" s="27" t="s">
        <v>141</v>
      </c>
      <c r="G132" s="28">
        <v>0</v>
      </c>
      <c r="H132" s="26">
        <v>499.1</v>
      </c>
      <c r="I132" s="26">
        <v>41</v>
      </c>
      <c r="J132" s="36">
        <v>2</v>
      </c>
      <c r="K132" s="34">
        <v>2014</v>
      </c>
      <c r="L132" s="34">
        <v>1</v>
      </c>
      <c r="M132" s="34">
        <v>22</v>
      </c>
      <c r="N132" s="26"/>
    </row>
    <row r="133" spans="1:14">
      <c r="A133" s="26">
        <v>100101</v>
      </c>
      <c r="B133" s="27" t="s">
        <v>303</v>
      </c>
      <c r="C133" s="26" t="s">
        <v>46</v>
      </c>
      <c r="D133" s="27" t="s">
        <v>199</v>
      </c>
      <c r="G133" s="28">
        <v>0</v>
      </c>
      <c r="H133" s="26">
        <v>13370.9</v>
      </c>
      <c r="I133" s="26">
        <v>41</v>
      </c>
      <c r="J133" s="36">
        <v>2</v>
      </c>
      <c r="K133" s="34">
        <v>2014</v>
      </c>
      <c r="L133" s="34">
        <v>1</v>
      </c>
      <c r="M133" s="34">
        <v>22</v>
      </c>
      <c r="N133" s="26"/>
    </row>
    <row r="134" spans="1:14">
      <c r="A134" s="26">
        <v>112313</v>
      </c>
      <c r="B134" s="27" t="s">
        <v>304</v>
      </c>
      <c r="C134" s="26" t="s">
        <v>64</v>
      </c>
      <c r="D134" s="27" t="s">
        <v>72</v>
      </c>
      <c r="G134" s="28">
        <v>4200</v>
      </c>
      <c r="H134" s="26">
        <v>0</v>
      </c>
      <c r="I134" s="26">
        <v>42</v>
      </c>
      <c r="J134" s="36">
        <v>1</v>
      </c>
      <c r="K134" s="34">
        <v>2014</v>
      </c>
      <c r="L134" s="34">
        <v>1</v>
      </c>
      <c r="M134" s="34">
        <v>22</v>
      </c>
      <c r="N134" s="26"/>
    </row>
    <row r="135" spans="1:14">
      <c r="A135" s="26">
        <v>112313</v>
      </c>
      <c r="B135" s="27" t="s">
        <v>305</v>
      </c>
      <c r="C135" s="26" t="s">
        <v>64</v>
      </c>
      <c r="D135" s="27" t="s">
        <v>72</v>
      </c>
      <c r="G135" s="28">
        <v>1800</v>
      </c>
      <c r="H135" s="26">
        <v>0</v>
      </c>
      <c r="I135" s="26">
        <v>42</v>
      </c>
      <c r="J135" s="36">
        <v>1</v>
      </c>
      <c r="K135" s="34">
        <v>2014</v>
      </c>
      <c r="L135" s="34">
        <v>1</v>
      </c>
      <c r="M135" s="34">
        <v>22</v>
      </c>
      <c r="N135" s="26"/>
    </row>
    <row r="136" spans="1:14">
      <c r="A136" s="26">
        <v>100101</v>
      </c>
      <c r="B136" s="27" t="s">
        <v>306</v>
      </c>
      <c r="C136" s="26" t="s">
        <v>46</v>
      </c>
      <c r="D136" s="27" t="s">
        <v>199</v>
      </c>
      <c r="G136" s="28">
        <v>0</v>
      </c>
      <c r="H136" s="26">
        <v>6000</v>
      </c>
      <c r="I136" s="26">
        <v>42</v>
      </c>
      <c r="J136" s="36">
        <v>1</v>
      </c>
      <c r="K136" s="34">
        <v>2014</v>
      </c>
      <c r="L136" s="34">
        <v>1</v>
      </c>
      <c r="M136" s="34">
        <v>22</v>
      </c>
      <c r="N136" s="26"/>
    </row>
    <row r="137" spans="1:14">
      <c r="A137" s="26">
        <v>560206</v>
      </c>
      <c r="B137" s="27" t="s">
        <v>307</v>
      </c>
      <c r="C137" s="26" t="s">
        <v>166</v>
      </c>
      <c r="D137" s="27" t="s">
        <v>172</v>
      </c>
      <c r="G137" s="28">
        <v>236</v>
      </c>
      <c r="H137" s="26">
        <v>0</v>
      </c>
      <c r="I137" s="26">
        <v>43</v>
      </c>
      <c r="J137" s="36">
        <v>2</v>
      </c>
      <c r="K137" s="34">
        <v>2014</v>
      </c>
      <c r="L137" s="34">
        <v>1</v>
      </c>
      <c r="M137" s="34">
        <v>26</v>
      </c>
      <c r="N137" s="26"/>
    </row>
    <row r="138" spans="1:14">
      <c r="A138" s="26">
        <v>100101</v>
      </c>
      <c r="B138" s="27" t="s">
        <v>308</v>
      </c>
      <c r="C138" s="26" t="s">
        <v>46</v>
      </c>
      <c r="D138" s="27" t="s">
        <v>199</v>
      </c>
      <c r="G138" s="28">
        <v>0</v>
      </c>
      <c r="H138" s="26">
        <v>236</v>
      </c>
      <c r="I138" s="26">
        <v>43</v>
      </c>
      <c r="J138" s="36">
        <v>2</v>
      </c>
      <c r="K138" s="34">
        <v>2014</v>
      </c>
      <c r="L138" s="34">
        <v>1</v>
      </c>
      <c r="M138" s="34">
        <v>26</v>
      </c>
      <c r="N138" s="26"/>
    </row>
    <row r="139" spans="1:14">
      <c r="A139" s="26">
        <v>224101</v>
      </c>
      <c r="B139" s="27" t="s">
        <v>309</v>
      </c>
      <c r="C139" s="26" t="s">
        <v>140</v>
      </c>
      <c r="D139" s="27" t="s">
        <v>12</v>
      </c>
      <c r="G139" s="28">
        <v>50000</v>
      </c>
      <c r="H139" s="26">
        <v>0</v>
      </c>
      <c r="I139" s="26">
        <v>44</v>
      </c>
      <c r="J139" s="36">
        <v>1</v>
      </c>
      <c r="K139" s="34">
        <v>2014</v>
      </c>
      <c r="L139" s="34">
        <v>1</v>
      </c>
      <c r="M139" s="34">
        <v>26</v>
      </c>
      <c r="N139" s="26"/>
    </row>
    <row r="140" spans="1:14">
      <c r="A140" s="26">
        <v>100201</v>
      </c>
      <c r="B140" s="27" t="s">
        <v>310</v>
      </c>
      <c r="C140" s="26" t="s">
        <v>47</v>
      </c>
      <c r="D140" s="27" t="s">
        <v>48</v>
      </c>
      <c r="G140" s="28">
        <v>0</v>
      </c>
      <c r="H140" s="26">
        <v>50000</v>
      </c>
      <c r="I140" s="26">
        <v>44</v>
      </c>
      <c r="J140" s="36">
        <v>1</v>
      </c>
      <c r="K140" s="34">
        <v>2014</v>
      </c>
      <c r="L140" s="34">
        <v>1</v>
      </c>
      <c r="M140" s="34">
        <v>26</v>
      </c>
      <c r="N140" s="26"/>
    </row>
    <row r="141" spans="1:14">
      <c r="A141" s="26">
        <v>100201</v>
      </c>
      <c r="B141" s="27" t="s">
        <v>311</v>
      </c>
      <c r="C141" s="26" t="s">
        <v>47</v>
      </c>
      <c r="D141" s="27" t="s">
        <v>48</v>
      </c>
      <c r="G141" s="28">
        <v>120000</v>
      </c>
      <c r="H141" s="26">
        <v>0</v>
      </c>
      <c r="I141" s="26">
        <v>45</v>
      </c>
      <c r="J141" s="36">
        <v>2</v>
      </c>
      <c r="K141" s="34">
        <v>2014</v>
      </c>
      <c r="L141" s="34">
        <v>1</v>
      </c>
      <c r="M141" s="34">
        <v>26</v>
      </c>
      <c r="N141" s="26"/>
    </row>
    <row r="142" spans="1:14">
      <c r="A142" s="26">
        <v>100201</v>
      </c>
      <c r="B142" s="27" t="s">
        <v>312</v>
      </c>
      <c r="C142" s="26" t="s">
        <v>47</v>
      </c>
      <c r="D142" s="27" t="s">
        <v>48</v>
      </c>
      <c r="G142" s="28">
        <v>50000</v>
      </c>
      <c r="H142" s="26">
        <v>0</v>
      </c>
      <c r="I142" s="26">
        <v>45</v>
      </c>
      <c r="J142" s="36">
        <v>2</v>
      </c>
      <c r="K142" s="34">
        <v>2014</v>
      </c>
      <c r="L142" s="34">
        <v>1</v>
      </c>
      <c r="M142" s="34">
        <v>26</v>
      </c>
      <c r="N142" s="26"/>
    </row>
    <row r="143" spans="1:14">
      <c r="A143" s="26">
        <v>122104</v>
      </c>
      <c r="B143" s="27" t="s">
        <v>311</v>
      </c>
      <c r="C143" s="26" t="s">
        <v>78</v>
      </c>
      <c r="D143" s="27" t="s">
        <v>82</v>
      </c>
      <c r="G143" s="28">
        <v>0</v>
      </c>
      <c r="H143" s="26">
        <v>120000</v>
      </c>
      <c r="I143" s="26">
        <v>45</v>
      </c>
      <c r="J143" s="36">
        <v>2</v>
      </c>
      <c r="K143" s="34">
        <v>2014</v>
      </c>
      <c r="L143" s="34">
        <v>1</v>
      </c>
      <c r="M143" s="34">
        <v>26</v>
      </c>
      <c r="N143" s="26"/>
    </row>
    <row r="144" spans="1:14">
      <c r="A144" s="26">
        <v>122104</v>
      </c>
      <c r="B144" s="27" t="s">
        <v>312</v>
      </c>
      <c r="C144" s="26" t="s">
        <v>78</v>
      </c>
      <c r="D144" s="27" t="s">
        <v>82</v>
      </c>
      <c r="G144" s="28">
        <v>0</v>
      </c>
      <c r="H144" s="26">
        <v>50000</v>
      </c>
      <c r="I144" s="26">
        <v>45</v>
      </c>
      <c r="J144" s="36">
        <v>2</v>
      </c>
      <c r="K144" s="34">
        <v>2014</v>
      </c>
      <c r="L144" s="34">
        <v>1</v>
      </c>
      <c r="M144" s="34">
        <v>26</v>
      </c>
      <c r="N144" s="26"/>
    </row>
    <row r="145" spans="1:14">
      <c r="A145" s="26">
        <v>560301</v>
      </c>
      <c r="B145" s="27" t="s">
        <v>178</v>
      </c>
      <c r="C145" s="26" t="s">
        <v>177</v>
      </c>
      <c r="D145" s="27" t="s">
        <v>199</v>
      </c>
      <c r="G145" s="28">
        <v>4</v>
      </c>
      <c r="H145" s="26">
        <v>0</v>
      </c>
      <c r="I145" s="26">
        <v>46</v>
      </c>
      <c r="J145" s="36">
        <v>3</v>
      </c>
      <c r="K145" s="34">
        <v>2014</v>
      </c>
      <c r="L145" s="34">
        <v>1</v>
      </c>
      <c r="M145" s="34">
        <v>26</v>
      </c>
      <c r="N145" s="26"/>
    </row>
    <row r="146" spans="1:14">
      <c r="A146" s="26">
        <v>100201</v>
      </c>
      <c r="B146" s="27" t="s">
        <v>313</v>
      </c>
      <c r="C146" s="26" t="s">
        <v>47</v>
      </c>
      <c r="D146" s="27" t="s">
        <v>48</v>
      </c>
      <c r="G146" s="28">
        <v>0</v>
      </c>
      <c r="H146" s="26">
        <v>1</v>
      </c>
      <c r="I146" s="26">
        <v>46</v>
      </c>
      <c r="J146" s="36">
        <v>3</v>
      </c>
      <c r="K146" s="34">
        <v>2014</v>
      </c>
      <c r="L146" s="34">
        <v>1</v>
      </c>
      <c r="M146" s="34">
        <v>26</v>
      </c>
      <c r="N146" s="26"/>
    </row>
    <row r="147" spans="1:14">
      <c r="A147" s="26">
        <v>100201</v>
      </c>
      <c r="B147" s="27" t="s">
        <v>314</v>
      </c>
      <c r="C147" s="26" t="s">
        <v>47</v>
      </c>
      <c r="D147" s="27" t="s">
        <v>48</v>
      </c>
      <c r="G147" s="28">
        <v>0</v>
      </c>
      <c r="H147" s="26">
        <v>1</v>
      </c>
      <c r="I147" s="26">
        <v>46</v>
      </c>
      <c r="J147" s="36">
        <v>3</v>
      </c>
      <c r="K147" s="34">
        <v>2014</v>
      </c>
      <c r="L147" s="34">
        <v>1</v>
      </c>
      <c r="M147" s="34">
        <v>26</v>
      </c>
      <c r="N147" s="26"/>
    </row>
    <row r="148" spans="1:14">
      <c r="A148" s="26">
        <v>100201</v>
      </c>
      <c r="B148" s="27" t="s">
        <v>315</v>
      </c>
      <c r="C148" s="26" t="s">
        <v>47</v>
      </c>
      <c r="D148" s="27" t="s">
        <v>48</v>
      </c>
      <c r="G148" s="28">
        <v>0</v>
      </c>
      <c r="H148" s="26">
        <v>2</v>
      </c>
      <c r="I148" s="26">
        <v>46</v>
      </c>
      <c r="J148" s="36">
        <v>3</v>
      </c>
      <c r="K148" s="34">
        <v>2014</v>
      </c>
      <c r="L148" s="34">
        <v>1</v>
      </c>
      <c r="M148" s="34">
        <v>26</v>
      </c>
      <c r="N148" s="26"/>
    </row>
    <row r="149" spans="1:14">
      <c r="A149" s="26">
        <v>224103</v>
      </c>
      <c r="B149" s="27" t="s">
        <v>316</v>
      </c>
      <c r="C149" s="26" t="s">
        <v>140</v>
      </c>
      <c r="D149" s="27" t="s">
        <v>141</v>
      </c>
      <c r="G149" s="28">
        <v>499.1</v>
      </c>
      <c r="H149" s="26">
        <v>0</v>
      </c>
      <c r="I149" s="26">
        <v>47</v>
      </c>
      <c r="J149" s="36">
        <v>2</v>
      </c>
      <c r="K149" s="34">
        <v>2014</v>
      </c>
      <c r="L149" s="34">
        <v>1</v>
      </c>
      <c r="M149" s="34">
        <v>26</v>
      </c>
      <c r="N149" s="26"/>
    </row>
    <row r="150" spans="1:14">
      <c r="A150" s="26">
        <v>221104</v>
      </c>
      <c r="B150" s="27" t="s">
        <v>316</v>
      </c>
      <c r="C150" s="26" t="s">
        <v>113</v>
      </c>
      <c r="D150" s="27" t="s">
        <v>117</v>
      </c>
      <c r="G150" s="28">
        <v>1139.68</v>
      </c>
      <c r="H150" s="26">
        <v>0</v>
      </c>
      <c r="I150" s="26">
        <v>47</v>
      </c>
      <c r="J150" s="36">
        <v>2</v>
      </c>
      <c r="K150" s="34">
        <v>2014</v>
      </c>
      <c r="L150" s="34">
        <v>1</v>
      </c>
      <c r="M150" s="34">
        <v>26</v>
      </c>
      <c r="N150" s="26"/>
    </row>
    <row r="151" spans="1:14">
      <c r="A151" s="26">
        <v>571101</v>
      </c>
      <c r="B151" s="27" t="s">
        <v>317</v>
      </c>
      <c r="C151" s="26" t="s">
        <v>181</v>
      </c>
      <c r="D151" s="27" t="s">
        <v>199</v>
      </c>
      <c r="G151" s="28">
        <v>19.68</v>
      </c>
      <c r="H151" s="26">
        <v>0</v>
      </c>
      <c r="I151" s="26">
        <v>47</v>
      </c>
      <c r="J151" s="36">
        <v>2</v>
      </c>
      <c r="K151" s="34">
        <v>2014</v>
      </c>
      <c r="L151" s="34">
        <v>1</v>
      </c>
      <c r="M151" s="34">
        <v>26</v>
      </c>
      <c r="N151" s="26"/>
    </row>
    <row r="152" spans="1:14">
      <c r="A152" s="26">
        <v>100201</v>
      </c>
      <c r="B152" s="27" t="s">
        <v>318</v>
      </c>
      <c r="C152" s="26" t="s">
        <v>47</v>
      </c>
      <c r="D152" s="27" t="s">
        <v>48</v>
      </c>
      <c r="G152" s="28">
        <v>0</v>
      </c>
      <c r="H152" s="26">
        <v>1638.78</v>
      </c>
      <c r="I152" s="26">
        <v>47</v>
      </c>
      <c r="J152" s="36">
        <v>2</v>
      </c>
      <c r="K152" s="34">
        <v>2014</v>
      </c>
      <c r="L152" s="34">
        <v>1</v>
      </c>
      <c r="M152" s="34">
        <v>26</v>
      </c>
      <c r="N152" s="26"/>
    </row>
    <row r="153" spans="1:14">
      <c r="A153" s="26">
        <v>100201</v>
      </c>
      <c r="B153" s="27" t="s">
        <v>319</v>
      </c>
      <c r="C153" s="26" t="s">
        <v>47</v>
      </c>
      <c r="D153" s="27" t="s">
        <v>48</v>
      </c>
      <c r="G153" s="28">
        <v>0</v>
      </c>
      <c r="H153" s="26">
        <v>19.68</v>
      </c>
      <c r="I153" s="26">
        <v>47</v>
      </c>
      <c r="J153" s="36">
        <v>2</v>
      </c>
      <c r="K153" s="34">
        <v>2014</v>
      </c>
      <c r="L153" s="34">
        <v>1</v>
      </c>
      <c r="M153" s="34">
        <v>26</v>
      </c>
      <c r="N153" s="26"/>
    </row>
    <row r="154" spans="1:14">
      <c r="A154" s="26">
        <v>112312</v>
      </c>
      <c r="B154" s="27" t="s">
        <v>320</v>
      </c>
      <c r="C154" s="26" t="s">
        <v>64</v>
      </c>
      <c r="D154" s="27" t="s">
        <v>71</v>
      </c>
      <c r="G154" s="28">
        <v>2200</v>
      </c>
      <c r="H154" s="26">
        <v>0</v>
      </c>
      <c r="I154" s="26">
        <v>48</v>
      </c>
      <c r="J154" s="36">
        <v>2</v>
      </c>
      <c r="K154" s="34">
        <v>2014</v>
      </c>
      <c r="L154" s="34">
        <v>1</v>
      </c>
      <c r="M154" s="34">
        <v>26</v>
      </c>
      <c r="N154" s="26"/>
    </row>
    <row r="155" spans="1:14">
      <c r="A155" s="26">
        <v>112312</v>
      </c>
      <c r="B155" s="27" t="s">
        <v>321</v>
      </c>
      <c r="C155" s="26" t="s">
        <v>64</v>
      </c>
      <c r="D155" s="27" t="s">
        <v>71</v>
      </c>
      <c r="G155" s="28">
        <v>4050</v>
      </c>
      <c r="H155" s="26">
        <v>0</v>
      </c>
      <c r="I155" s="26">
        <v>48</v>
      </c>
      <c r="J155" s="36">
        <v>2</v>
      </c>
      <c r="K155" s="34">
        <v>2014</v>
      </c>
      <c r="L155" s="34">
        <v>1</v>
      </c>
      <c r="M155" s="34">
        <v>26</v>
      </c>
      <c r="N155" s="26"/>
    </row>
    <row r="156" spans="1:14">
      <c r="A156" s="26">
        <v>112312</v>
      </c>
      <c r="B156" s="27" t="s">
        <v>322</v>
      </c>
      <c r="C156" s="26" t="s">
        <v>64</v>
      </c>
      <c r="D156" s="27" t="s">
        <v>71</v>
      </c>
      <c r="G156" s="28">
        <v>4050</v>
      </c>
      <c r="H156" s="26">
        <v>0</v>
      </c>
      <c r="I156" s="26">
        <v>48</v>
      </c>
      <c r="J156" s="36">
        <v>2</v>
      </c>
      <c r="K156" s="34">
        <v>2014</v>
      </c>
      <c r="L156" s="34">
        <v>1</v>
      </c>
      <c r="M156" s="34">
        <v>26</v>
      </c>
      <c r="N156" s="26"/>
    </row>
    <row r="157" spans="1:14">
      <c r="A157" s="26">
        <v>100201</v>
      </c>
      <c r="B157" s="27" t="s">
        <v>323</v>
      </c>
      <c r="C157" s="26" t="s">
        <v>47</v>
      </c>
      <c r="D157" s="27" t="s">
        <v>48</v>
      </c>
      <c r="G157" s="28">
        <v>0</v>
      </c>
      <c r="H157" s="26">
        <v>10300</v>
      </c>
      <c r="I157" s="26">
        <v>48</v>
      </c>
      <c r="J157" s="36">
        <v>2</v>
      </c>
      <c r="K157" s="34">
        <v>2014</v>
      </c>
      <c r="L157" s="34">
        <v>1</v>
      </c>
      <c r="M157" s="34">
        <v>26</v>
      </c>
      <c r="N157" s="26"/>
    </row>
    <row r="158" spans="1:14">
      <c r="A158" s="26">
        <v>221103</v>
      </c>
      <c r="B158" s="27" t="s">
        <v>324</v>
      </c>
      <c r="C158" s="26" t="s">
        <v>113</v>
      </c>
      <c r="D158" s="27" t="s">
        <v>116</v>
      </c>
      <c r="G158" s="28">
        <v>3088</v>
      </c>
      <c r="H158" s="26">
        <v>0</v>
      </c>
      <c r="I158" s="26">
        <v>49</v>
      </c>
      <c r="J158" s="36">
        <v>2</v>
      </c>
      <c r="K158" s="34">
        <v>2014</v>
      </c>
      <c r="L158" s="34">
        <v>1</v>
      </c>
      <c r="M158" s="34">
        <v>26</v>
      </c>
      <c r="N158" s="26"/>
    </row>
    <row r="159" spans="1:14">
      <c r="A159" s="26">
        <v>100201</v>
      </c>
      <c r="B159" s="27" t="s">
        <v>325</v>
      </c>
      <c r="C159" s="26" t="s">
        <v>47</v>
      </c>
      <c r="D159" s="27" t="s">
        <v>48</v>
      </c>
      <c r="G159" s="28">
        <v>0</v>
      </c>
      <c r="H159" s="26">
        <v>3088</v>
      </c>
      <c r="I159" s="26">
        <v>49</v>
      </c>
      <c r="J159" s="36">
        <v>2</v>
      </c>
      <c r="K159" s="34">
        <v>2014</v>
      </c>
      <c r="L159" s="34">
        <v>1</v>
      </c>
      <c r="M159" s="34">
        <v>26</v>
      </c>
      <c r="N159" s="26"/>
    </row>
    <row r="160" spans="1:14">
      <c r="A160" s="26">
        <v>560205</v>
      </c>
      <c r="B160" s="27" t="s">
        <v>326</v>
      </c>
      <c r="C160" s="26" t="s">
        <v>166</v>
      </c>
      <c r="D160" s="27" t="s">
        <v>171</v>
      </c>
      <c r="G160" s="28">
        <v>21762.28</v>
      </c>
      <c r="H160" s="26">
        <v>0</v>
      </c>
      <c r="I160" s="26">
        <v>50</v>
      </c>
      <c r="J160" s="36">
        <v>4</v>
      </c>
      <c r="K160" s="34">
        <v>2014</v>
      </c>
      <c r="L160" s="34">
        <v>1</v>
      </c>
      <c r="M160" s="34">
        <v>26</v>
      </c>
      <c r="N160" s="26"/>
    </row>
    <row r="161" spans="1:14">
      <c r="A161" s="26">
        <v>100201</v>
      </c>
      <c r="B161" s="27" t="s">
        <v>327</v>
      </c>
      <c r="C161" s="26" t="s">
        <v>47</v>
      </c>
      <c r="D161" s="27" t="s">
        <v>48</v>
      </c>
      <c r="G161" s="28">
        <v>0</v>
      </c>
      <c r="H161" s="26">
        <v>21762.28</v>
      </c>
      <c r="I161" s="26">
        <v>50</v>
      </c>
      <c r="J161" s="36">
        <v>4</v>
      </c>
      <c r="K161" s="34">
        <v>2014</v>
      </c>
      <c r="L161" s="34">
        <v>1</v>
      </c>
      <c r="M161" s="34">
        <v>26</v>
      </c>
      <c r="N161" s="26"/>
    </row>
    <row r="162" spans="1:14">
      <c r="A162" s="26">
        <v>224102</v>
      </c>
      <c r="B162" s="27" t="s">
        <v>328</v>
      </c>
      <c r="C162" s="26" t="s">
        <v>140</v>
      </c>
      <c r="D162" s="27" t="s">
        <v>81</v>
      </c>
      <c r="G162" s="28">
        <v>7119</v>
      </c>
      <c r="H162" s="26">
        <v>0</v>
      </c>
      <c r="I162" s="26">
        <v>51</v>
      </c>
      <c r="J162" s="36">
        <v>2</v>
      </c>
      <c r="K162" s="34">
        <v>2014</v>
      </c>
      <c r="L162" s="34">
        <v>1</v>
      </c>
      <c r="M162" s="34">
        <v>26</v>
      </c>
      <c r="N162" s="26"/>
    </row>
    <row r="163" spans="1:14">
      <c r="A163" s="26">
        <v>224102</v>
      </c>
      <c r="B163" s="27" t="s">
        <v>329</v>
      </c>
      <c r="C163" s="26" t="s">
        <v>140</v>
      </c>
      <c r="D163" s="27" t="s">
        <v>81</v>
      </c>
      <c r="G163" s="28">
        <v>10000</v>
      </c>
      <c r="H163" s="26">
        <v>0</v>
      </c>
      <c r="I163" s="26">
        <v>51</v>
      </c>
      <c r="J163" s="36">
        <v>2</v>
      </c>
      <c r="K163" s="34">
        <v>2014</v>
      </c>
      <c r="L163" s="34">
        <v>1</v>
      </c>
      <c r="M163" s="34">
        <v>26</v>
      </c>
      <c r="N163" s="26"/>
    </row>
    <row r="164" spans="1:14">
      <c r="A164" s="26">
        <v>100201</v>
      </c>
      <c r="B164" s="27" t="s">
        <v>330</v>
      </c>
      <c r="C164" s="26" t="s">
        <v>47</v>
      </c>
      <c r="D164" s="27" t="s">
        <v>48</v>
      </c>
      <c r="G164" s="28">
        <v>0</v>
      </c>
      <c r="H164" s="26">
        <v>17119</v>
      </c>
      <c r="I164" s="26">
        <v>51</v>
      </c>
      <c r="J164" s="36">
        <v>2</v>
      </c>
      <c r="K164" s="34">
        <v>2014</v>
      </c>
      <c r="L164" s="34">
        <v>1</v>
      </c>
      <c r="M164" s="34">
        <v>26</v>
      </c>
      <c r="N164" s="26"/>
    </row>
    <row r="165" spans="1:14">
      <c r="A165" s="26">
        <v>440102</v>
      </c>
      <c r="B165" s="27" t="s">
        <v>331</v>
      </c>
      <c r="C165" s="26" t="s">
        <v>149</v>
      </c>
      <c r="D165" s="27" t="s">
        <v>151</v>
      </c>
      <c r="G165" s="28">
        <v>16000</v>
      </c>
      <c r="H165" s="26">
        <v>0</v>
      </c>
      <c r="I165" s="26">
        <v>52</v>
      </c>
      <c r="J165" s="36">
        <v>2</v>
      </c>
      <c r="K165" s="34">
        <v>2014</v>
      </c>
      <c r="L165" s="34">
        <v>1</v>
      </c>
      <c r="M165" s="34">
        <v>26</v>
      </c>
      <c r="N165" s="26"/>
    </row>
    <row r="166" spans="1:14">
      <c r="A166" s="26">
        <v>440103</v>
      </c>
      <c r="B166" s="27" t="s">
        <v>331</v>
      </c>
      <c r="C166" s="26" t="s">
        <v>149</v>
      </c>
      <c r="D166" s="27" t="s">
        <v>152</v>
      </c>
      <c r="G166" s="28">
        <v>19940</v>
      </c>
      <c r="H166" s="26">
        <v>0</v>
      </c>
      <c r="I166" s="26">
        <v>52</v>
      </c>
      <c r="J166" s="36">
        <v>2</v>
      </c>
      <c r="K166" s="34">
        <v>2014</v>
      </c>
      <c r="L166" s="34">
        <v>1</v>
      </c>
      <c r="M166" s="34">
        <v>26</v>
      </c>
      <c r="N166" s="26"/>
    </row>
    <row r="167" spans="1:14">
      <c r="A167" s="26">
        <v>440104</v>
      </c>
      <c r="B167" s="27" t="s">
        <v>331</v>
      </c>
      <c r="C167" s="26" t="s">
        <v>149</v>
      </c>
      <c r="D167" s="27" t="s">
        <v>153</v>
      </c>
      <c r="G167" s="28">
        <v>14000</v>
      </c>
      <c r="H167" s="26">
        <v>0</v>
      </c>
      <c r="I167" s="26">
        <v>52</v>
      </c>
      <c r="J167" s="36">
        <v>2</v>
      </c>
      <c r="K167" s="34">
        <v>2014</v>
      </c>
      <c r="L167" s="34">
        <v>1</v>
      </c>
      <c r="M167" s="34">
        <v>26</v>
      </c>
      <c r="N167" s="26"/>
    </row>
    <row r="168" spans="1:14">
      <c r="A168" s="26">
        <v>440101</v>
      </c>
      <c r="B168" s="27" t="s">
        <v>331</v>
      </c>
      <c r="C168" s="26" t="s">
        <v>149</v>
      </c>
      <c r="D168" s="27" t="s">
        <v>150</v>
      </c>
      <c r="G168" s="28">
        <v>12760</v>
      </c>
      <c r="H168" s="26">
        <v>0</v>
      </c>
      <c r="I168" s="26">
        <v>52</v>
      </c>
      <c r="J168" s="36">
        <v>2</v>
      </c>
      <c r="K168" s="34">
        <v>2014</v>
      </c>
      <c r="L168" s="34">
        <v>1</v>
      </c>
      <c r="M168" s="34">
        <v>26</v>
      </c>
      <c r="N168" s="26"/>
    </row>
    <row r="169" spans="1:14">
      <c r="A169" s="26">
        <v>221101</v>
      </c>
      <c r="B169" s="27" t="s">
        <v>332</v>
      </c>
      <c r="C169" s="26" t="s">
        <v>113</v>
      </c>
      <c r="D169" s="27" t="s">
        <v>114</v>
      </c>
      <c r="G169" s="28">
        <v>0</v>
      </c>
      <c r="H169" s="26">
        <v>55000</v>
      </c>
      <c r="I169" s="26">
        <v>52</v>
      </c>
      <c r="J169" s="36">
        <v>2</v>
      </c>
      <c r="K169" s="34">
        <v>2014</v>
      </c>
      <c r="L169" s="34">
        <v>1</v>
      </c>
      <c r="M169" s="34">
        <v>26</v>
      </c>
      <c r="N169" s="26"/>
    </row>
    <row r="170" spans="1:14">
      <c r="A170" s="26">
        <v>221103</v>
      </c>
      <c r="B170" s="27" t="s">
        <v>333</v>
      </c>
      <c r="C170" s="26" t="s">
        <v>113</v>
      </c>
      <c r="D170" s="27" t="s">
        <v>116</v>
      </c>
      <c r="G170" s="28">
        <v>0</v>
      </c>
      <c r="H170" s="26">
        <v>7700</v>
      </c>
      <c r="I170" s="26">
        <v>52</v>
      </c>
      <c r="J170" s="36">
        <v>2</v>
      </c>
      <c r="K170" s="34">
        <v>2014</v>
      </c>
      <c r="L170" s="34">
        <v>1</v>
      </c>
      <c r="M170" s="34">
        <v>26</v>
      </c>
      <c r="N170" s="26"/>
    </row>
    <row r="171" spans="1:14">
      <c r="A171" s="26">
        <v>560201</v>
      </c>
      <c r="B171" s="27" t="s">
        <v>334</v>
      </c>
      <c r="C171" s="26" t="s">
        <v>166</v>
      </c>
      <c r="D171" s="27" t="s">
        <v>235</v>
      </c>
      <c r="G171" s="28">
        <v>1890</v>
      </c>
      <c r="H171" s="26">
        <v>0</v>
      </c>
      <c r="I171" s="26">
        <v>53</v>
      </c>
      <c r="J171" s="36">
        <v>1</v>
      </c>
      <c r="K171" s="34">
        <v>2014</v>
      </c>
      <c r="L171" s="34">
        <v>1</v>
      </c>
      <c r="M171" s="34">
        <v>26</v>
      </c>
      <c r="N171" s="26"/>
    </row>
    <row r="172" spans="1:14">
      <c r="A172" s="26">
        <v>221103</v>
      </c>
      <c r="B172" s="27" t="s">
        <v>334</v>
      </c>
      <c r="C172" s="26" t="s">
        <v>113</v>
      </c>
      <c r="D172" s="27" t="s">
        <v>116</v>
      </c>
      <c r="G172" s="28">
        <v>0</v>
      </c>
      <c r="H172" s="26">
        <v>1890</v>
      </c>
      <c r="I172" s="26">
        <v>53</v>
      </c>
      <c r="J172" s="36">
        <v>1</v>
      </c>
      <c r="K172" s="34">
        <v>2014</v>
      </c>
      <c r="L172" s="34">
        <v>1</v>
      </c>
      <c r="M172" s="34">
        <v>26</v>
      </c>
      <c r="N172" s="26"/>
    </row>
    <row r="173" spans="1:14">
      <c r="A173" s="26">
        <v>221103</v>
      </c>
      <c r="B173" s="27" t="s">
        <v>335</v>
      </c>
      <c r="C173" s="26" t="s">
        <v>113</v>
      </c>
      <c r="D173" s="27" t="s">
        <v>116</v>
      </c>
      <c r="G173" s="28">
        <v>10300</v>
      </c>
      <c r="H173" s="26">
        <v>0</v>
      </c>
      <c r="I173" s="26">
        <v>54</v>
      </c>
      <c r="J173" s="36">
        <v>2</v>
      </c>
      <c r="K173" s="34">
        <v>2014</v>
      </c>
      <c r="L173" s="34">
        <v>1</v>
      </c>
      <c r="M173" s="34">
        <v>26</v>
      </c>
      <c r="N173" s="26"/>
    </row>
    <row r="174" spans="1:14">
      <c r="A174" s="26">
        <v>100101</v>
      </c>
      <c r="B174" s="27" t="s">
        <v>336</v>
      </c>
      <c r="C174" s="26" t="s">
        <v>46</v>
      </c>
      <c r="D174" s="27" t="s">
        <v>199</v>
      </c>
      <c r="G174" s="28">
        <v>0</v>
      </c>
      <c r="H174" s="26">
        <v>300</v>
      </c>
      <c r="I174" s="26">
        <v>54</v>
      </c>
      <c r="J174" s="36">
        <v>2</v>
      </c>
      <c r="K174" s="34">
        <v>2014</v>
      </c>
      <c r="L174" s="34">
        <v>1</v>
      </c>
      <c r="M174" s="34">
        <v>26</v>
      </c>
      <c r="N174" s="26"/>
    </row>
    <row r="175" spans="1:14">
      <c r="A175" s="26">
        <v>100201</v>
      </c>
      <c r="B175" s="27" t="s">
        <v>337</v>
      </c>
      <c r="C175" s="26" t="s">
        <v>47</v>
      </c>
      <c r="D175" s="27" t="s">
        <v>48</v>
      </c>
      <c r="G175" s="28">
        <v>0</v>
      </c>
      <c r="H175" s="26">
        <v>10000</v>
      </c>
      <c r="I175" s="26">
        <v>54</v>
      </c>
      <c r="J175" s="36">
        <v>2</v>
      </c>
      <c r="K175" s="34">
        <v>2014</v>
      </c>
      <c r="L175" s="34">
        <v>1</v>
      </c>
      <c r="M175" s="34">
        <v>26</v>
      </c>
      <c r="N175" s="26"/>
    </row>
    <row r="176" spans="1:14">
      <c r="A176" s="26">
        <v>560206</v>
      </c>
      <c r="B176" s="27" t="s">
        <v>338</v>
      </c>
      <c r="C176" s="26" t="s">
        <v>166</v>
      </c>
      <c r="D176" s="27" t="s">
        <v>172</v>
      </c>
      <c r="G176" s="28">
        <v>150</v>
      </c>
      <c r="H176" s="26">
        <v>0</v>
      </c>
      <c r="I176" s="26">
        <v>55</v>
      </c>
      <c r="J176" s="36">
        <v>2</v>
      </c>
      <c r="K176" s="34">
        <v>2014</v>
      </c>
      <c r="L176" s="34">
        <v>1</v>
      </c>
      <c r="M176" s="34">
        <v>26</v>
      </c>
      <c r="N176" s="26"/>
    </row>
    <row r="177" spans="1:14">
      <c r="A177" s="26">
        <v>560301</v>
      </c>
      <c r="B177" s="27" t="s">
        <v>339</v>
      </c>
      <c r="C177" s="26" t="s">
        <v>177</v>
      </c>
      <c r="D177" s="27" t="s">
        <v>199</v>
      </c>
      <c r="G177" s="28">
        <v>20</v>
      </c>
      <c r="H177" s="26">
        <v>0</v>
      </c>
      <c r="I177" s="26">
        <v>55</v>
      </c>
      <c r="J177" s="36">
        <v>2</v>
      </c>
      <c r="K177" s="34">
        <v>2014</v>
      </c>
      <c r="L177" s="34">
        <v>1</v>
      </c>
      <c r="M177" s="34">
        <v>26</v>
      </c>
      <c r="N177" s="26"/>
    </row>
    <row r="178" spans="1:14">
      <c r="A178" s="26">
        <v>100101</v>
      </c>
      <c r="B178" s="27" t="s">
        <v>340</v>
      </c>
      <c r="C178" s="26" t="s">
        <v>46</v>
      </c>
      <c r="D178" s="27" t="s">
        <v>199</v>
      </c>
      <c r="G178" s="28">
        <v>0</v>
      </c>
      <c r="H178" s="26">
        <v>150</v>
      </c>
      <c r="I178" s="26">
        <v>55</v>
      </c>
      <c r="J178" s="36">
        <v>2</v>
      </c>
      <c r="K178" s="34">
        <v>2014</v>
      </c>
      <c r="L178" s="34">
        <v>1</v>
      </c>
      <c r="M178" s="34">
        <v>26</v>
      </c>
      <c r="N178" s="26"/>
    </row>
    <row r="179" spans="1:14">
      <c r="A179" s="26">
        <v>100201</v>
      </c>
      <c r="B179" s="27" t="s">
        <v>341</v>
      </c>
      <c r="C179" s="26" t="s">
        <v>47</v>
      </c>
      <c r="D179" s="27" t="s">
        <v>48</v>
      </c>
      <c r="G179" s="28">
        <v>0</v>
      </c>
      <c r="H179" s="26">
        <v>20</v>
      </c>
      <c r="I179" s="26">
        <v>55</v>
      </c>
      <c r="J179" s="36">
        <v>2</v>
      </c>
      <c r="K179" s="34">
        <v>2014</v>
      </c>
      <c r="L179" s="34">
        <v>1</v>
      </c>
      <c r="M179" s="34">
        <v>26</v>
      </c>
      <c r="N179" s="26"/>
    </row>
    <row r="180" spans="1:14">
      <c r="A180" s="26">
        <v>222102</v>
      </c>
      <c r="B180" s="27" t="s">
        <v>342</v>
      </c>
      <c r="C180" s="26" t="s">
        <v>126</v>
      </c>
      <c r="D180" s="27" t="s">
        <v>128</v>
      </c>
      <c r="G180" s="28">
        <v>5700</v>
      </c>
      <c r="H180" s="26">
        <v>0</v>
      </c>
      <c r="I180" s="26">
        <v>56</v>
      </c>
      <c r="J180" s="36">
        <v>0</v>
      </c>
      <c r="K180" s="34">
        <v>2014</v>
      </c>
      <c r="L180" s="34">
        <v>1</v>
      </c>
      <c r="M180" s="34">
        <v>26</v>
      </c>
      <c r="N180" s="26"/>
    </row>
    <row r="181" spans="1:14">
      <c r="A181" s="26">
        <v>222103</v>
      </c>
      <c r="B181" s="27" t="s">
        <v>342</v>
      </c>
      <c r="C181" s="26" t="s">
        <v>126</v>
      </c>
      <c r="D181" s="27" t="s">
        <v>129</v>
      </c>
      <c r="G181" s="28">
        <v>399</v>
      </c>
      <c r="H181" s="26">
        <v>0</v>
      </c>
      <c r="I181" s="26">
        <v>56</v>
      </c>
      <c r="J181" s="36">
        <v>0</v>
      </c>
      <c r="K181" s="34">
        <v>2014</v>
      </c>
      <c r="L181" s="34">
        <v>1</v>
      </c>
      <c r="M181" s="34">
        <v>26</v>
      </c>
      <c r="N181" s="26"/>
    </row>
    <row r="182" spans="1:14">
      <c r="A182" s="26">
        <v>222104</v>
      </c>
      <c r="B182" s="27" t="s">
        <v>342</v>
      </c>
      <c r="C182" s="26" t="s">
        <v>126</v>
      </c>
      <c r="D182" s="27" t="s">
        <v>130</v>
      </c>
      <c r="G182" s="28">
        <v>285</v>
      </c>
      <c r="H182" s="26">
        <v>0</v>
      </c>
      <c r="I182" s="26">
        <v>56</v>
      </c>
      <c r="J182" s="36">
        <v>0</v>
      </c>
      <c r="K182" s="34">
        <v>2014</v>
      </c>
      <c r="L182" s="34">
        <v>1</v>
      </c>
      <c r="M182" s="34">
        <v>26</v>
      </c>
      <c r="N182" s="26"/>
    </row>
    <row r="183" spans="1:14">
      <c r="A183" s="26">
        <v>222105</v>
      </c>
      <c r="B183" s="27" t="s">
        <v>342</v>
      </c>
      <c r="C183" s="26" t="s">
        <v>126</v>
      </c>
      <c r="D183" s="27" t="s">
        <v>131</v>
      </c>
      <c r="G183" s="28">
        <v>57</v>
      </c>
      <c r="H183" s="26">
        <v>0</v>
      </c>
      <c r="I183" s="26">
        <v>56</v>
      </c>
      <c r="J183" s="36">
        <v>0</v>
      </c>
      <c r="K183" s="34">
        <v>2014</v>
      </c>
      <c r="L183" s="34">
        <v>1</v>
      </c>
      <c r="M183" s="34">
        <v>26</v>
      </c>
      <c r="N183" s="26"/>
    </row>
    <row r="184" spans="1:14">
      <c r="A184" s="26">
        <v>222106</v>
      </c>
      <c r="B184" s="27" t="s">
        <v>342</v>
      </c>
      <c r="C184" s="26" t="s">
        <v>126</v>
      </c>
      <c r="D184" s="27" t="s">
        <v>132</v>
      </c>
      <c r="G184" s="28">
        <v>1520</v>
      </c>
      <c r="H184" s="26">
        <v>0</v>
      </c>
      <c r="I184" s="26">
        <v>56</v>
      </c>
      <c r="J184" s="36">
        <v>0</v>
      </c>
      <c r="K184" s="34">
        <v>2014</v>
      </c>
      <c r="L184" s="34">
        <v>1</v>
      </c>
      <c r="M184" s="34">
        <v>26</v>
      </c>
      <c r="N184" s="26"/>
    </row>
    <row r="185" spans="1:14">
      <c r="A185" s="26">
        <v>224104</v>
      </c>
      <c r="B185" s="27" t="s">
        <v>342</v>
      </c>
      <c r="C185" s="26" t="s">
        <v>140</v>
      </c>
      <c r="D185" s="27" t="s">
        <v>142</v>
      </c>
      <c r="G185" s="28">
        <v>190</v>
      </c>
      <c r="H185" s="26">
        <v>0</v>
      </c>
      <c r="I185" s="26">
        <v>56</v>
      </c>
      <c r="J185" s="36">
        <v>0</v>
      </c>
      <c r="K185" s="34">
        <v>2014</v>
      </c>
      <c r="L185" s="34">
        <v>1</v>
      </c>
      <c r="M185" s="34">
        <v>26</v>
      </c>
      <c r="N185" s="26"/>
    </row>
    <row r="186" spans="1:14">
      <c r="A186" s="26">
        <v>100101</v>
      </c>
      <c r="B186" s="27" t="s">
        <v>342</v>
      </c>
      <c r="C186" s="26" t="s">
        <v>46</v>
      </c>
      <c r="D186" s="27" t="s">
        <v>199</v>
      </c>
      <c r="G186" s="28">
        <v>0</v>
      </c>
      <c r="H186" s="26">
        <v>8151</v>
      </c>
      <c r="I186" s="26">
        <v>56</v>
      </c>
      <c r="J186" s="36">
        <v>0</v>
      </c>
      <c r="K186" s="34">
        <v>2014</v>
      </c>
      <c r="L186" s="34">
        <v>1</v>
      </c>
      <c r="M186" s="34">
        <v>26</v>
      </c>
      <c r="N186" s="26"/>
    </row>
    <row r="187" spans="1:14">
      <c r="A187" s="26">
        <v>540301</v>
      </c>
      <c r="B187" s="27" t="s">
        <v>343</v>
      </c>
      <c r="C187" s="26" t="s">
        <v>165</v>
      </c>
      <c r="D187" s="27" t="s">
        <v>129</v>
      </c>
      <c r="G187" s="28">
        <v>7</v>
      </c>
      <c r="H187" s="26">
        <v>0</v>
      </c>
      <c r="I187" s="26">
        <v>57</v>
      </c>
      <c r="J187" s="36">
        <v>1</v>
      </c>
      <c r="K187" s="34">
        <v>2014</v>
      </c>
      <c r="L187" s="34">
        <v>1</v>
      </c>
      <c r="M187" s="34">
        <v>26</v>
      </c>
      <c r="N187" s="26"/>
    </row>
    <row r="188" spans="1:14">
      <c r="A188" s="26">
        <v>540302</v>
      </c>
      <c r="B188" s="27" t="s">
        <v>343</v>
      </c>
      <c r="C188" s="26" t="s">
        <v>165</v>
      </c>
      <c r="D188" s="27" t="s">
        <v>130</v>
      </c>
      <c r="G188" s="28">
        <v>5</v>
      </c>
      <c r="H188" s="26">
        <v>0</v>
      </c>
      <c r="I188" s="26">
        <v>57</v>
      </c>
      <c r="J188" s="36">
        <v>1</v>
      </c>
      <c r="K188" s="34">
        <v>2014</v>
      </c>
      <c r="L188" s="34">
        <v>1</v>
      </c>
      <c r="M188" s="34">
        <v>26</v>
      </c>
      <c r="N188" s="26"/>
    </row>
    <row r="189" spans="1:14">
      <c r="A189" s="26">
        <v>540303</v>
      </c>
      <c r="B189" s="27" t="s">
        <v>343</v>
      </c>
      <c r="C189" s="26" t="s">
        <v>165</v>
      </c>
      <c r="D189" s="27" t="s">
        <v>131</v>
      </c>
      <c r="G189" s="28">
        <v>0.6</v>
      </c>
      <c r="H189" s="26">
        <v>0</v>
      </c>
      <c r="I189" s="26">
        <v>57</v>
      </c>
      <c r="J189" s="36">
        <v>1</v>
      </c>
      <c r="K189" s="34">
        <v>2014</v>
      </c>
      <c r="L189" s="34">
        <v>1</v>
      </c>
      <c r="M189" s="34">
        <v>26</v>
      </c>
      <c r="N189" s="26"/>
    </row>
    <row r="190" spans="1:14">
      <c r="A190" s="26">
        <v>540304</v>
      </c>
      <c r="B190" s="27" t="s">
        <v>343</v>
      </c>
      <c r="C190" s="26" t="s">
        <v>165</v>
      </c>
      <c r="D190" s="27" t="s">
        <v>128</v>
      </c>
      <c r="G190" s="28">
        <v>100</v>
      </c>
      <c r="H190" s="26">
        <v>0</v>
      </c>
      <c r="I190" s="26">
        <v>57</v>
      </c>
      <c r="J190" s="36">
        <v>1</v>
      </c>
      <c r="K190" s="34">
        <v>2014</v>
      </c>
      <c r="L190" s="34">
        <v>1</v>
      </c>
      <c r="M190" s="34">
        <v>26</v>
      </c>
      <c r="N190" s="26"/>
    </row>
    <row r="191" spans="1:14">
      <c r="A191" s="26">
        <v>560206</v>
      </c>
      <c r="B191" s="27" t="s">
        <v>343</v>
      </c>
      <c r="C191" s="26" t="s">
        <v>166</v>
      </c>
      <c r="D191" s="27" t="s">
        <v>172</v>
      </c>
      <c r="G191" s="28">
        <v>2</v>
      </c>
      <c r="H191" s="26">
        <v>0</v>
      </c>
      <c r="I191" s="26">
        <v>57</v>
      </c>
      <c r="J191" s="36">
        <v>1</v>
      </c>
      <c r="K191" s="34">
        <v>2014</v>
      </c>
      <c r="L191" s="34">
        <v>1</v>
      </c>
      <c r="M191" s="34">
        <v>26</v>
      </c>
      <c r="N191" s="26"/>
    </row>
    <row r="192" spans="1:14">
      <c r="A192" s="26">
        <v>222102</v>
      </c>
      <c r="B192" s="27" t="s">
        <v>343</v>
      </c>
      <c r="C192" s="26" t="s">
        <v>126</v>
      </c>
      <c r="D192" s="27" t="s">
        <v>128</v>
      </c>
      <c r="G192" s="28">
        <v>0</v>
      </c>
      <c r="H192" s="26">
        <v>100</v>
      </c>
      <c r="I192" s="26">
        <v>57</v>
      </c>
      <c r="J192" s="36">
        <v>1</v>
      </c>
      <c r="K192" s="34">
        <v>2014</v>
      </c>
      <c r="L192" s="34">
        <v>1</v>
      </c>
      <c r="M192" s="34">
        <v>26</v>
      </c>
      <c r="N192" s="26"/>
    </row>
    <row r="193" spans="1:14">
      <c r="A193" s="26">
        <v>222103</v>
      </c>
      <c r="B193" s="27" t="s">
        <v>343</v>
      </c>
      <c r="C193" s="26" t="s">
        <v>126</v>
      </c>
      <c r="D193" s="27" t="s">
        <v>129</v>
      </c>
      <c r="G193" s="28">
        <v>0</v>
      </c>
      <c r="H193" s="26">
        <v>7</v>
      </c>
      <c r="I193" s="26">
        <v>57</v>
      </c>
      <c r="J193" s="36">
        <v>1</v>
      </c>
      <c r="K193" s="34">
        <v>2014</v>
      </c>
      <c r="L193" s="34">
        <v>1</v>
      </c>
      <c r="M193" s="34">
        <v>26</v>
      </c>
      <c r="N193" s="26"/>
    </row>
    <row r="194" spans="1:14">
      <c r="A194" s="26">
        <v>222104</v>
      </c>
      <c r="B194" s="27" t="s">
        <v>343</v>
      </c>
      <c r="C194" s="26" t="s">
        <v>126</v>
      </c>
      <c r="D194" s="27" t="s">
        <v>130</v>
      </c>
      <c r="G194" s="28">
        <v>0</v>
      </c>
      <c r="H194" s="26">
        <v>5</v>
      </c>
      <c r="I194" s="26">
        <v>57</v>
      </c>
      <c r="J194" s="36">
        <v>1</v>
      </c>
      <c r="K194" s="34">
        <v>2014</v>
      </c>
      <c r="L194" s="34">
        <v>1</v>
      </c>
      <c r="M194" s="34">
        <v>26</v>
      </c>
      <c r="N194" s="26"/>
    </row>
    <row r="195" spans="1:14">
      <c r="A195" s="26">
        <v>222105</v>
      </c>
      <c r="B195" s="27" t="s">
        <v>343</v>
      </c>
      <c r="C195" s="26" t="s">
        <v>126</v>
      </c>
      <c r="D195" s="27" t="s">
        <v>131</v>
      </c>
      <c r="G195" s="28">
        <v>0</v>
      </c>
      <c r="H195" s="26">
        <v>0.6</v>
      </c>
      <c r="I195" s="26">
        <v>57</v>
      </c>
      <c r="J195" s="36">
        <v>1</v>
      </c>
      <c r="K195" s="34">
        <v>2014</v>
      </c>
      <c r="L195" s="34">
        <v>1</v>
      </c>
      <c r="M195" s="34">
        <v>26</v>
      </c>
      <c r="N195" s="26"/>
    </row>
    <row r="196" spans="1:14">
      <c r="A196" s="26">
        <v>224104</v>
      </c>
      <c r="B196" s="27" t="s">
        <v>343</v>
      </c>
      <c r="C196" s="26" t="s">
        <v>140</v>
      </c>
      <c r="D196" s="27" t="s">
        <v>142</v>
      </c>
      <c r="G196" s="28">
        <v>0</v>
      </c>
      <c r="H196" s="26">
        <v>2</v>
      </c>
      <c r="I196" s="26">
        <v>57</v>
      </c>
      <c r="J196" s="36">
        <v>1</v>
      </c>
      <c r="K196" s="34">
        <v>2014</v>
      </c>
      <c r="L196" s="34">
        <v>1</v>
      </c>
      <c r="M196" s="34">
        <v>26</v>
      </c>
      <c r="N196" s="26"/>
    </row>
    <row r="197" spans="1:14">
      <c r="A197" s="26">
        <v>560301</v>
      </c>
      <c r="B197" s="27" t="s">
        <v>178</v>
      </c>
      <c r="C197" s="26" t="s">
        <v>177</v>
      </c>
      <c r="D197" s="27" t="s">
        <v>199</v>
      </c>
      <c r="G197" s="28">
        <v>2</v>
      </c>
      <c r="H197" s="26">
        <v>0</v>
      </c>
      <c r="I197" s="26">
        <v>58</v>
      </c>
      <c r="J197" s="36">
        <v>2</v>
      </c>
      <c r="K197" s="34">
        <v>2014</v>
      </c>
      <c r="L197" s="34">
        <v>1</v>
      </c>
      <c r="M197" s="34">
        <v>26</v>
      </c>
      <c r="N197" s="26"/>
    </row>
    <row r="198" spans="1:14">
      <c r="A198" s="26">
        <v>100201</v>
      </c>
      <c r="B198" s="27" t="s">
        <v>344</v>
      </c>
      <c r="C198" s="26" t="s">
        <v>47</v>
      </c>
      <c r="D198" s="27" t="s">
        <v>48</v>
      </c>
      <c r="G198" s="28">
        <v>0</v>
      </c>
      <c r="H198" s="26">
        <v>1</v>
      </c>
      <c r="I198" s="26">
        <v>58</v>
      </c>
      <c r="J198" s="36">
        <v>2</v>
      </c>
      <c r="K198" s="34">
        <v>2014</v>
      </c>
      <c r="L198" s="34">
        <v>1</v>
      </c>
      <c r="M198" s="34">
        <v>26</v>
      </c>
      <c r="N198" s="26"/>
    </row>
    <row r="199" spans="1:14">
      <c r="A199" s="26">
        <v>100201</v>
      </c>
      <c r="B199" s="27" t="s">
        <v>345</v>
      </c>
      <c r="C199" s="26" t="s">
        <v>47</v>
      </c>
      <c r="D199" s="27" t="s">
        <v>48</v>
      </c>
      <c r="G199" s="28">
        <v>0</v>
      </c>
      <c r="H199" s="26">
        <v>1</v>
      </c>
      <c r="I199" s="26">
        <v>58</v>
      </c>
      <c r="J199" s="36">
        <v>2</v>
      </c>
      <c r="K199" s="34">
        <v>2014</v>
      </c>
      <c r="L199" s="34">
        <v>1</v>
      </c>
      <c r="M199" s="34">
        <v>26</v>
      </c>
      <c r="N199" s="26"/>
    </row>
    <row r="200" spans="1:14">
      <c r="A200" s="26">
        <v>560206</v>
      </c>
      <c r="B200" s="27" t="s">
        <v>346</v>
      </c>
      <c r="C200" s="26" t="s">
        <v>166</v>
      </c>
      <c r="D200" s="27" t="s">
        <v>172</v>
      </c>
      <c r="G200" s="28">
        <v>101</v>
      </c>
      <c r="H200" s="26">
        <v>0</v>
      </c>
      <c r="I200" s="26">
        <v>1</v>
      </c>
      <c r="J200" s="36">
        <v>2</v>
      </c>
      <c r="K200" s="34">
        <v>2014</v>
      </c>
      <c r="L200" s="34">
        <v>2</v>
      </c>
      <c r="M200" s="34">
        <v>20</v>
      </c>
      <c r="N200" s="26"/>
    </row>
    <row r="201" spans="1:14">
      <c r="A201" s="26">
        <v>224104</v>
      </c>
      <c r="B201" s="27" t="s">
        <v>347</v>
      </c>
      <c r="C201" s="26" t="s">
        <v>140</v>
      </c>
      <c r="D201" s="27" t="s">
        <v>142</v>
      </c>
      <c r="G201" s="28">
        <v>2</v>
      </c>
      <c r="H201" s="26">
        <v>0</v>
      </c>
      <c r="I201" s="26">
        <v>1</v>
      </c>
      <c r="J201" s="36">
        <v>2</v>
      </c>
      <c r="K201" s="34">
        <v>2014</v>
      </c>
      <c r="L201" s="34">
        <v>2</v>
      </c>
      <c r="M201" s="34">
        <v>20</v>
      </c>
      <c r="N201" s="26"/>
    </row>
    <row r="202" spans="1:14">
      <c r="A202" s="26">
        <v>100201</v>
      </c>
      <c r="B202" s="27" t="s">
        <v>348</v>
      </c>
      <c r="C202" s="26" t="s">
        <v>47</v>
      </c>
      <c r="D202" s="27" t="s">
        <v>48</v>
      </c>
      <c r="G202" s="28">
        <v>0</v>
      </c>
      <c r="H202" s="26">
        <v>103</v>
      </c>
      <c r="I202" s="26">
        <v>1</v>
      </c>
      <c r="J202" s="36">
        <v>2</v>
      </c>
      <c r="K202" s="34">
        <v>2014</v>
      </c>
      <c r="L202" s="34">
        <v>2</v>
      </c>
      <c r="M202" s="34">
        <v>20</v>
      </c>
      <c r="N202" s="26"/>
    </row>
    <row r="203" spans="1:14">
      <c r="A203" s="26">
        <v>560201</v>
      </c>
      <c r="B203" s="27" t="s">
        <v>349</v>
      </c>
      <c r="C203" s="26" t="s">
        <v>166</v>
      </c>
      <c r="D203" s="27" t="s">
        <v>235</v>
      </c>
      <c r="G203" s="28">
        <v>14841.68</v>
      </c>
      <c r="H203" s="26">
        <v>0</v>
      </c>
      <c r="I203" s="26">
        <v>2</v>
      </c>
      <c r="J203" s="36">
        <v>1</v>
      </c>
      <c r="K203" s="34">
        <v>2014</v>
      </c>
      <c r="L203" s="34">
        <v>2</v>
      </c>
      <c r="M203" s="34">
        <v>20</v>
      </c>
      <c r="N203" s="26"/>
    </row>
    <row r="204" spans="1:14">
      <c r="A204" s="26">
        <v>560203</v>
      </c>
      <c r="B204" s="27" t="s">
        <v>350</v>
      </c>
      <c r="C204" s="26" t="s">
        <v>166</v>
      </c>
      <c r="D204" s="27" t="s">
        <v>169</v>
      </c>
      <c r="G204" s="28">
        <v>370</v>
      </c>
      <c r="H204" s="26">
        <v>0</v>
      </c>
      <c r="I204" s="26">
        <v>2</v>
      </c>
      <c r="J204" s="36">
        <v>1</v>
      </c>
      <c r="K204" s="34">
        <v>2014</v>
      </c>
      <c r="L204" s="34">
        <v>2</v>
      </c>
      <c r="M204" s="34">
        <v>20</v>
      </c>
      <c r="N204" s="26"/>
    </row>
    <row r="205" spans="1:14">
      <c r="A205" s="26">
        <v>221101</v>
      </c>
      <c r="B205" s="27" t="s">
        <v>349</v>
      </c>
      <c r="C205" s="26" t="s">
        <v>113</v>
      </c>
      <c r="D205" s="27" t="s">
        <v>114</v>
      </c>
      <c r="G205" s="28">
        <v>0</v>
      </c>
      <c r="H205" s="26">
        <v>13500</v>
      </c>
      <c r="I205" s="26">
        <v>2</v>
      </c>
      <c r="J205" s="36">
        <v>1</v>
      </c>
      <c r="K205" s="34">
        <v>2014</v>
      </c>
      <c r="L205" s="34">
        <v>2</v>
      </c>
      <c r="M205" s="34">
        <v>20</v>
      </c>
      <c r="N205" s="26"/>
    </row>
    <row r="206" spans="1:14">
      <c r="A206" s="26">
        <v>221102</v>
      </c>
      <c r="B206" s="27" t="s">
        <v>350</v>
      </c>
      <c r="C206" s="26" t="s">
        <v>113</v>
      </c>
      <c r="D206" s="27" t="s">
        <v>115</v>
      </c>
      <c r="G206" s="28">
        <v>0</v>
      </c>
      <c r="H206" s="26">
        <v>370</v>
      </c>
      <c r="I206" s="26">
        <v>2</v>
      </c>
      <c r="J206" s="36">
        <v>1</v>
      </c>
      <c r="K206" s="34">
        <v>2014</v>
      </c>
      <c r="L206" s="34">
        <v>2</v>
      </c>
      <c r="M206" s="34">
        <v>20</v>
      </c>
      <c r="N206" s="26"/>
    </row>
    <row r="207" spans="1:14">
      <c r="A207" s="26">
        <v>221104</v>
      </c>
      <c r="B207" s="27" t="s">
        <v>351</v>
      </c>
      <c r="C207" s="26" t="s">
        <v>113</v>
      </c>
      <c r="D207" s="27" t="s">
        <v>117</v>
      </c>
      <c r="G207" s="28">
        <v>0</v>
      </c>
      <c r="H207" s="26">
        <v>1341.68</v>
      </c>
      <c r="I207" s="26">
        <v>2</v>
      </c>
      <c r="J207" s="36">
        <v>1</v>
      </c>
      <c r="K207" s="34">
        <v>2014</v>
      </c>
      <c r="L207" s="34">
        <v>2</v>
      </c>
      <c r="M207" s="34">
        <v>20</v>
      </c>
      <c r="N207" s="26"/>
    </row>
    <row r="208" spans="1:14">
      <c r="A208" s="26">
        <v>560201</v>
      </c>
      <c r="B208" s="27" t="s">
        <v>352</v>
      </c>
      <c r="C208" s="26" t="s">
        <v>166</v>
      </c>
      <c r="D208" s="27" t="s">
        <v>235</v>
      </c>
      <c r="G208" s="28">
        <v>1890</v>
      </c>
      <c r="H208" s="26">
        <v>0</v>
      </c>
      <c r="I208" s="26">
        <v>3</v>
      </c>
      <c r="J208" s="36">
        <v>1</v>
      </c>
      <c r="K208" s="34">
        <v>2014</v>
      </c>
      <c r="L208" s="34">
        <v>2</v>
      </c>
      <c r="M208" s="34">
        <v>20</v>
      </c>
      <c r="N208" s="26"/>
    </row>
    <row r="209" spans="1:14">
      <c r="A209" s="26">
        <v>221103</v>
      </c>
      <c r="B209" s="27" t="s">
        <v>352</v>
      </c>
      <c r="C209" s="26" t="s">
        <v>113</v>
      </c>
      <c r="D209" s="27" t="s">
        <v>116</v>
      </c>
      <c r="G209" s="28">
        <v>0</v>
      </c>
      <c r="H209" s="26">
        <v>1890</v>
      </c>
      <c r="I209" s="26">
        <v>3</v>
      </c>
      <c r="J209" s="36">
        <v>1</v>
      </c>
      <c r="K209" s="34">
        <v>2014</v>
      </c>
      <c r="L209" s="34">
        <v>2</v>
      </c>
      <c r="M209" s="34">
        <v>20</v>
      </c>
      <c r="N209" s="26"/>
    </row>
    <row r="210" spans="1:14">
      <c r="A210" s="26">
        <v>440106</v>
      </c>
      <c r="B210" s="27" t="s">
        <v>353</v>
      </c>
      <c r="C210" s="26" t="s">
        <v>149</v>
      </c>
      <c r="D210" s="27" t="s">
        <v>354</v>
      </c>
      <c r="G210" s="28">
        <v>62700</v>
      </c>
      <c r="H210" s="26">
        <v>0</v>
      </c>
      <c r="I210" s="26">
        <v>4</v>
      </c>
      <c r="J210" s="36">
        <v>1</v>
      </c>
      <c r="K210" s="34">
        <v>2014</v>
      </c>
      <c r="L210" s="34">
        <v>2</v>
      </c>
      <c r="M210" s="34">
        <v>24</v>
      </c>
      <c r="N210" s="26"/>
    </row>
    <row r="211" spans="1:14">
      <c r="A211" s="26">
        <v>221101</v>
      </c>
      <c r="B211" s="27" t="s">
        <v>355</v>
      </c>
      <c r="C211" s="26" t="s">
        <v>113</v>
      </c>
      <c r="D211" s="27" t="s">
        <v>114</v>
      </c>
      <c r="G211" s="28">
        <v>0</v>
      </c>
      <c r="H211" s="26">
        <v>55000</v>
      </c>
      <c r="I211" s="26">
        <v>4</v>
      </c>
      <c r="J211" s="36">
        <v>1</v>
      </c>
      <c r="K211" s="34">
        <v>2014</v>
      </c>
      <c r="L211" s="34">
        <v>2</v>
      </c>
      <c r="M211" s="34">
        <v>24</v>
      </c>
      <c r="N211" s="26"/>
    </row>
    <row r="212" spans="1:14">
      <c r="A212" s="26">
        <v>221103</v>
      </c>
      <c r="B212" s="27" t="s">
        <v>356</v>
      </c>
      <c r="C212" s="26" t="s">
        <v>113</v>
      </c>
      <c r="D212" s="27" t="s">
        <v>116</v>
      </c>
      <c r="G212" s="28">
        <v>0</v>
      </c>
      <c r="H212" s="26">
        <v>7700</v>
      </c>
      <c r="I212" s="26">
        <v>4</v>
      </c>
      <c r="J212" s="36">
        <v>1</v>
      </c>
      <c r="K212" s="34">
        <v>2014</v>
      </c>
      <c r="L212" s="34">
        <v>2</v>
      </c>
      <c r="M212" s="34">
        <v>24</v>
      </c>
      <c r="N212" s="26"/>
    </row>
    <row r="213" spans="1:14">
      <c r="A213" s="26">
        <v>560206</v>
      </c>
      <c r="B213" s="27" t="s">
        <v>357</v>
      </c>
      <c r="C213" s="26" t="s">
        <v>166</v>
      </c>
      <c r="D213" s="27" t="s">
        <v>172</v>
      </c>
      <c r="G213" s="28">
        <v>2195</v>
      </c>
      <c r="H213" s="26">
        <v>0</v>
      </c>
      <c r="I213" s="26">
        <v>5</v>
      </c>
      <c r="J213" s="36">
        <v>4</v>
      </c>
      <c r="K213" s="34">
        <v>2014</v>
      </c>
      <c r="L213" s="34">
        <v>2</v>
      </c>
      <c r="M213" s="34">
        <v>24</v>
      </c>
      <c r="N213" s="26"/>
    </row>
    <row r="214" spans="1:14">
      <c r="A214" s="26">
        <v>100101</v>
      </c>
      <c r="B214" s="27" t="s">
        <v>358</v>
      </c>
      <c r="C214" s="26" t="s">
        <v>46</v>
      </c>
      <c r="D214" s="27" t="s">
        <v>199</v>
      </c>
      <c r="G214" s="28">
        <v>805</v>
      </c>
      <c r="H214" s="26">
        <v>0</v>
      </c>
      <c r="I214" s="26">
        <v>5</v>
      </c>
      <c r="J214" s="36">
        <v>4</v>
      </c>
      <c r="K214" s="34">
        <v>2014</v>
      </c>
      <c r="L214" s="34">
        <v>2</v>
      </c>
      <c r="M214" s="34">
        <v>24</v>
      </c>
      <c r="N214" s="26"/>
    </row>
    <row r="215" spans="1:14">
      <c r="A215" s="26">
        <v>100201</v>
      </c>
      <c r="B215" s="27" t="s">
        <v>359</v>
      </c>
      <c r="C215" s="26" t="s">
        <v>47</v>
      </c>
      <c r="D215" s="27" t="s">
        <v>48</v>
      </c>
      <c r="G215" s="28">
        <v>0</v>
      </c>
      <c r="H215" s="26">
        <v>3000</v>
      </c>
      <c r="I215" s="26">
        <v>5</v>
      </c>
      <c r="J215" s="36">
        <v>4</v>
      </c>
      <c r="K215" s="34">
        <v>2014</v>
      </c>
      <c r="L215" s="34">
        <v>2</v>
      </c>
      <c r="M215" s="34">
        <v>24</v>
      </c>
      <c r="N215" s="26"/>
    </row>
    <row r="216" spans="1:14">
      <c r="A216" s="26">
        <v>560203</v>
      </c>
      <c r="B216" s="27" t="s">
        <v>360</v>
      </c>
      <c r="C216" s="26" t="s">
        <v>166</v>
      </c>
      <c r="D216" s="27" t="s">
        <v>169</v>
      </c>
      <c r="G216" s="28">
        <v>365</v>
      </c>
      <c r="H216" s="26">
        <v>0</v>
      </c>
      <c r="I216" s="26">
        <v>6</v>
      </c>
      <c r="J216" s="36">
        <v>8</v>
      </c>
      <c r="K216" s="34">
        <v>2014</v>
      </c>
      <c r="L216" s="34">
        <v>2</v>
      </c>
      <c r="M216" s="34">
        <v>24</v>
      </c>
      <c r="N216" s="26"/>
    </row>
    <row r="217" spans="1:14">
      <c r="A217" s="26">
        <v>560206</v>
      </c>
      <c r="B217" s="27" t="s">
        <v>361</v>
      </c>
      <c r="C217" s="26" t="s">
        <v>166</v>
      </c>
      <c r="D217" s="27" t="s">
        <v>172</v>
      </c>
      <c r="G217" s="28">
        <v>2959</v>
      </c>
      <c r="H217" s="26">
        <v>0</v>
      </c>
      <c r="I217" s="26">
        <v>6</v>
      </c>
      <c r="J217" s="36">
        <v>8</v>
      </c>
      <c r="K217" s="34">
        <v>2014</v>
      </c>
      <c r="L217" s="34">
        <v>2</v>
      </c>
      <c r="M217" s="34">
        <v>24</v>
      </c>
      <c r="N217" s="26"/>
    </row>
    <row r="218" spans="1:14">
      <c r="A218" s="26">
        <v>221103</v>
      </c>
      <c r="B218" s="27" t="s">
        <v>216</v>
      </c>
      <c r="C218" s="26" t="s">
        <v>113</v>
      </c>
      <c r="D218" s="27" t="s">
        <v>116</v>
      </c>
      <c r="G218" s="28">
        <v>1073</v>
      </c>
      <c r="H218" s="26">
        <v>0</v>
      </c>
      <c r="I218" s="26">
        <v>6</v>
      </c>
      <c r="J218" s="36">
        <v>8</v>
      </c>
      <c r="K218" s="34">
        <v>2014</v>
      </c>
      <c r="L218" s="34">
        <v>2</v>
      </c>
      <c r="M218" s="34">
        <v>24</v>
      </c>
      <c r="N218" s="26"/>
    </row>
    <row r="219" spans="1:14">
      <c r="A219" s="26">
        <v>100201</v>
      </c>
      <c r="B219" s="27" t="s">
        <v>362</v>
      </c>
      <c r="C219" s="26" t="s">
        <v>47</v>
      </c>
      <c r="D219" s="27" t="s">
        <v>48</v>
      </c>
      <c r="G219" s="28">
        <v>0</v>
      </c>
      <c r="H219" s="26">
        <v>4397</v>
      </c>
      <c r="I219" s="26">
        <v>6</v>
      </c>
      <c r="J219" s="36">
        <v>8</v>
      </c>
      <c r="K219" s="34">
        <v>2014</v>
      </c>
      <c r="L219" s="34">
        <v>2</v>
      </c>
      <c r="M219" s="34">
        <v>24</v>
      </c>
      <c r="N219" s="26"/>
    </row>
    <row r="220" spans="1:14">
      <c r="A220" s="26">
        <v>560202</v>
      </c>
      <c r="B220" s="27" t="s">
        <v>363</v>
      </c>
      <c r="C220" s="26" t="s">
        <v>166</v>
      </c>
      <c r="D220" s="27" t="s">
        <v>168</v>
      </c>
      <c r="G220" s="28">
        <v>519.01</v>
      </c>
      <c r="H220" s="26">
        <v>0</v>
      </c>
      <c r="I220" s="26">
        <v>7</v>
      </c>
      <c r="J220" s="36">
        <v>1</v>
      </c>
      <c r="K220" s="34">
        <v>2014</v>
      </c>
      <c r="L220" s="34">
        <v>2</v>
      </c>
      <c r="M220" s="34">
        <v>24</v>
      </c>
      <c r="N220" s="26"/>
    </row>
    <row r="221" spans="1:14">
      <c r="A221" s="26">
        <v>160101</v>
      </c>
      <c r="B221" s="27" t="s">
        <v>363</v>
      </c>
      <c r="C221" s="26" t="s">
        <v>91</v>
      </c>
      <c r="D221" s="27" t="s">
        <v>92</v>
      </c>
      <c r="G221" s="28">
        <v>0</v>
      </c>
      <c r="H221" s="26">
        <v>88.89</v>
      </c>
      <c r="I221" s="26">
        <v>7</v>
      </c>
      <c r="J221" s="36">
        <v>1</v>
      </c>
      <c r="K221" s="34">
        <v>2014</v>
      </c>
      <c r="L221" s="34">
        <v>2</v>
      </c>
      <c r="M221" s="34">
        <v>24</v>
      </c>
      <c r="N221" s="26"/>
    </row>
    <row r="222" spans="1:14">
      <c r="A222" s="26">
        <v>160102</v>
      </c>
      <c r="B222" s="27" t="s">
        <v>363</v>
      </c>
      <c r="C222" s="26" t="s">
        <v>91</v>
      </c>
      <c r="D222" s="27" t="s">
        <v>93</v>
      </c>
      <c r="G222" s="28">
        <v>0</v>
      </c>
      <c r="H222" s="26">
        <v>122.22</v>
      </c>
      <c r="I222" s="26">
        <v>7</v>
      </c>
      <c r="J222" s="36">
        <v>1</v>
      </c>
      <c r="K222" s="34">
        <v>2014</v>
      </c>
      <c r="L222" s="34">
        <v>2</v>
      </c>
      <c r="M222" s="34">
        <v>24</v>
      </c>
      <c r="N222" s="26"/>
    </row>
    <row r="223" spans="1:14">
      <c r="A223" s="26">
        <v>160103</v>
      </c>
      <c r="B223" s="27" t="s">
        <v>363</v>
      </c>
      <c r="C223" s="26" t="s">
        <v>91</v>
      </c>
      <c r="D223" s="27" t="s">
        <v>94</v>
      </c>
      <c r="G223" s="28">
        <v>0</v>
      </c>
      <c r="H223" s="26">
        <v>106.92</v>
      </c>
      <c r="I223" s="26">
        <v>7</v>
      </c>
      <c r="J223" s="36">
        <v>1</v>
      </c>
      <c r="K223" s="34">
        <v>2014</v>
      </c>
      <c r="L223" s="34">
        <v>2</v>
      </c>
      <c r="M223" s="34">
        <v>24</v>
      </c>
      <c r="N223" s="26"/>
    </row>
    <row r="224" spans="1:14">
      <c r="A224" s="26">
        <v>160104</v>
      </c>
      <c r="B224" s="27" t="s">
        <v>363</v>
      </c>
      <c r="C224" s="26" t="s">
        <v>91</v>
      </c>
      <c r="D224" s="27" t="s">
        <v>95</v>
      </c>
      <c r="G224" s="28">
        <v>0</v>
      </c>
      <c r="H224" s="26">
        <v>58.27</v>
      </c>
      <c r="I224" s="26">
        <v>7</v>
      </c>
      <c r="J224" s="36">
        <v>1</v>
      </c>
      <c r="K224" s="34">
        <v>2014</v>
      </c>
      <c r="L224" s="34">
        <v>2</v>
      </c>
      <c r="M224" s="34">
        <v>24</v>
      </c>
      <c r="N224" s="26"/>
    </row>
    <row r="225" spans="1:14">
      <c r="A225" s="26">
        <v>160105</v>
      </c>
      <c r="B225" s="27" t="s">
        <v>363</v>
      </c>
      <c r="C225" s="26" t="s">
        <v>91</v>
      </c>
      <c r="D225" s="27" t="s">
        <v>96</v>
      </c>
      <c r="G225" s="28">
        <v>0</v>
      </c>
      <c r="H225" s="26">
        <v>69.39</v>
      </c>
      <c r="I225" s="26">
        <v>7</v>
      </c>
      <c r="J225" s="36">
        <v>1</v>
      </c>
      <c r="K225" s="34">
        <v>2014</v>
      </c>
      <c r="L225" s="34">
        <v>2</v>
      </c>
      <c r="M225" s="34">
        <v>24</v>
      </c>
      <c r="N225" s="26"/>
    </row>
    <row r="226" spans="1:14">
      <c r="A226" s="26">
        <v>160106</v>
      </c>
      <c r="B226" s="27" t="s">
        <v>363</v>
      </c>
      <c r="C226" s="26" t="s">
        <v>91</v>
      </c>
      <c r="D226" s="27" t="s">
        <v>97</v>
      </c>
      <c r="G226" s="28">
        <v>0</v>
      </c>
      <c r="H226" s="26">
        <v>73.32</v>
      </c>
      <c r="I226" s="26">
        <v>7</v>
      </c>
      <c r="J226" s="36">
        <v>1</v>
      </c>
      <c r="K226" s="34">
        <v>2014</v>
      </c>
      <c r="L226" s="34">
        <v>2</v>
      </c>
      <c r="M226" s="34">
        <v>24</v>
      </c>
      <c r="N226" s="26"/>
    </row>
    <row r="227" spans="1:14">
      <c r="A227" s="26">
        <v>560205</v>
      </c>
      <c r="B227" s="27" t="s">
        <v>364</v>
      </c>
      <c r="C227" s="26" t="s">
        <v>166</v>
      </c>
      <c r="D227" s="27" t="s">
        <v>171</v>
      </c>
      <c r="G227" s="28">
        <v>150.48</v>
      </c>
      <c r="H227" s="26">
        <v>0</v>
      </c>
      <c r="I227" s="26">
        <v>8</v>
      </c>
      <c r="J227" s="36">
        <v>1</v>
      </c>
      <c r="K227" s="34">
        <v>2014</v>
      </c>
      <c r="L227" s="34">
        <v>2</v>
      </c>
      <c r="M227" s="34">
        <v>24</v>
      </c>
      <c r="N227" s="26"/>
    </row>
    <row r="228" spans="1:14">
      <c r="A228" s="26">
        <v>177701</v>
      </c>
      <c r="B228" s="27" t="s">
        <v>364</v>
      </c>
      <c r="C228" s="26" t="s">
        <v>100</v>
      </c>
      <c r="D228" s="27" t="s">
        <v>199</v>
      </c>
      <c r="G228" s="28">
        <v>0</v>
      </c>
      <c r="H228" s="26">
        <v>150.48</v>
      </c>
      <c r="I228" s="26">
        <v>8</v>
      </c>
      <c r="J228" s="36">
        <v>1</v>
      </c>
      <c r="K228" s="34">
        <v>2014</v>
      </c>
      <c r="L228" s="34">
        <v>2</v>
      </c>
      <c r="M228" s="34">
        <v>24</v>
      </c>
      <c r="N228" s="26"/>
    </row>
    <row r="229" spans="1:14">
      <c r="A229" s="26">
        <v>500101</v>
      </c>
      <c r="B229" s="27" t="s">
        <v>365</v>
      </c>
      <c r="C229" s="26" t="s">
        <v>157</v>
      </c>
      <c r="D229" s="27" t="s">
        <v>158</v>
      </c>
      <c r="G229" s="28">
        <v>0</v>
      </c>
      <c r="H229" s="26">
        <v>1606.84</v>
      </c>
      <c r="I229" s="26">
        <v>9</v>
      </c>
      <c r="J229" s="36">
        <v>1</v>
      </c>
      <c r="K229" s="34">
        <v>2014</v>
      </c>
      <c r="L229" s="34">
        <v>2</v>
      </c>
      <c r="M229" s="34">
        <v>24</v>
      </c>
      <c r="N229" s="26"/>
    </row>
    <row r="230" spans="1:14">
      <c r="A230" s="26">
        <v>222125</v>
      </c>
      <c r="B230" s="27" t="s">
        <v>365</v>
      </c>
      <c r="C230" s="26" t="s">
        <v>126</v>
      </c>
      <c r="D230" s="27" t="s">
        <v>136</v>
      </c>
      <c r="G230" s="28">
        <v>0</v>
      </c>
      <c r="H230" s="26">
        <v>273.16</v>
      </c>
      <c r="I230" s="26">
        <v>9</v>
      </c>
      <c r="J230" s="36">
        <v>1</v>
      </c>
      <c r="K230" s="34">
        <v>2014</v>
      </c>
      <c r="L230" s="34">
        <v>2</v>
      </c>
      <c r="M230" s="34">
        <v>24</v>
      </c>
      <c r="N230" s="26"/>
    </row>
    <row r="231" spans="1:14">
      <c r="A231" s="26">
        <v>112205</v>
      </c>
      <c r="B231" s="27" t="s">
        <v>365</v>
      </c>
      <c r="C231" s="26" t="s">
        <v>49</v>
      </c>
      <c r="D231" s="27" t="s">
        <v>366</v>
      </c>
      <c r="G231" s="28">
        <v>1880</v>
      </c>
      <c r="H231" s="26">
        <v>0</v>
      </c>
      <c r="I231" s="26">
        <v>9</v>
      </c>
      <c r="J231" s="36">
        <v>1</v>
      </c>
      <c r="K231" s="34">
        <v>2014</v>
      </c>
      <c r="L231" s="34">
        <v>2</v>
      </c>
      <c r="M231" s="34">
        <v>24</v>
      </c>
      <c r="N231" s="26"/>
    </row>
    <row r="232" spans="1:14">
      <c r="A232" s="26">
        <v>140501</v>
      </c>
      <c r="B232" s="27" t="s">
        <v>367</v>
      </c>
      <c r="C232" s="26" t="s">
        <v>89</v>
      </c>
      <c r="D232" s="27" t="s">
        <v>199</v>
      </c>
      <c r="G232" s="28">
        <v>0</v>
      </c>
      <c r="H232" s="26">
        <v>1350.43</v>
      </c>
      <c r="I232" s="26">
        <v>10</v>
      </c>
      <c r="J232" s="36">
        <v>0</v>
      </c>
      <c r="K232" s="34">
        <v>2014</v>
      </c>
      <c r="L232" s="34">
        <v>2</v>
      </c>
      <c r="M232" s="34">
        <v>27</v>
      </c>
      <c r="N232" s="26"/>
    </row>
    <row r="233" spans="1:14">
      <c r="A233" s="26">
        <v>540101</v>
      </c>
      <c r="B233" s="27" t="s">
        <v>367</v>
      </c>
      <c r="C233" s="26" t="s">
        <v>161</v>
      </c>
      <c r="D233" s="27" t="s">
        <v>162</v>
      </c>
      <c r="G233" s="28">
        <v>1350.43</v>
      </c>
      <c r="H233" s="26">
        <v>0</v>
      </c>
      <c r="I233" s="26">
        <v>10</v>
      </c>
      <c r="J233" s="36">
        <v>0</v>
      </c>
      <c r="K233" s="34">
        <v>2014</v>
      </c>
      <c r="L233" s="34">
        <v>2</v>
      </c>
      <c r="M233" s="34">
        <v>27</v>
      </c>
      <c r="N233" s="26"/>
    </row>
    <row r="234" spans="1:14">
      <c r="A234" s="26">
        <v>112204</v>
      </c>
      <c r="B234" s="27" t="s">
        <v>368</v>
      </c>
      <c r="C234" s="26" t="s">
        <v>49</v>
      </c>
      <c r="D234" s="27" t="s">
        <v>255</v>
      </c>
      <c r="G234" s="28">
        <v>0</v>
      </c>
      <c r="H234" s="26">
        <v>800</v>
      </c>
      <c r="I234" s="26">
        <v>11</v>
      </c>
      <c r="J234" s="36">
        <v>1</v>
      </c>
      <c r="K234" s="34">
        <v>2014</v>
      </c>
      <c r="L234" s="34">
        <v>2</v>
      </c>
      <c r="M234" s="34">
        <v>28</v>
      </c>
      <c r="N234" s="26"/>
    </row>
    <row r="235" spans="1:14">
      <c r="A235" s="26">
        <v>112204</v>
      </c>
      <c r="B235" s="27" t="s">
        <v>369</v>
      </c>
      <c r="C235" s="26" t="s">
        <v>49</v>
      </c>
      <c r="D235" s="27" t="s">
        <v>255</v>
      </c>
      <c r="G235" s="28">
        <v>0</v>
      </c>
      <c r="H235" s="26">
        <v>2000</v>
      </c>
      <c r="I235" s="26">
        <v>11</v>
      </c>
      <c r="J235" s="36">
        <v>1</v>
      </c>
      <c r="K235" s="34">
        <v>2014</v>
      </c>
      <c r="L235" s="34">
        <v>2</v>
      </c>
      <c r="M235" s="34">
        <v>28</v>
      </c>
      <c r="N235" s="26"/>
    </row>
    <row r="236" spans="1:14">
      <c r="A236" s="26">
        <v>100201</v>
      </c>
      <c r="B236" s="27" t="s">
        <v>370</v>
      </c>
      <c r="C236" s="26" t="s">
        <v>47</v>
      </c>
      <c r="D236" s="27" t="s">
        <v>48</v>
      </c>
      <c r="G236" s="28">
        <v>4800</v>
      </c>
      <c r="H236" s="26">
        <v>0</v>
      </c>
      <c r="I236" s="26">
        <v>11</v>
      </c>
      <c r="J236" s="36">
        <v>1</v>
      </c>
      <c r="K236" s="34">
        <v>2014</v>
      </c>
      <c r="L236" s="34">
        <v>2</v>
      </c>
      <c r="M236" s="34">
        <v>28</v>
      </c>
      <c r="N236" s="26"/>
    </row>
    <row r="237" spans="1:14">
      <c r="A237" s="26">
        <v>112204</v>
      </c>
      <c r="B237" s="27" t="s">
        <v>371</v>
      </c>
      <c r="C237" s="26" t="s">
        <v>49</v>
      </c>
      <c r="D237" s="27" t="s">
        <v>255</v>
      </c>
      <c r="E237" s="26" t="s">
        <v>199</v>
      </c>
      <c r="F237" s="26" t="s">
        <v>199</v>
      </c>
      <c r="G237" s="28">
        <v>0</v>
      </c>
      <c r="H237" s="26">
        <v>2000</v>
      </c>
      <c r="I237" s="26">
        <v>11</v>
      </c>
      <c r="J237" s="36">
        <v>1</v>
      </c>
      <c r="K237" s="34">
        <v>2014</v>
      </c>
      <c r="L237" s="34">
        <v>2</v>
      </c>
      <c r="M237" s="34">
        <v>28</v>
      </c>
      <c r="N237" s="26"/>
    </row>
    <row r="238" spans="1:14">
      <c r="A238" s="26">
        <v>560301</v>
      </c>
      <c r="B238" s="27" t="s">
        <v>372</v>
      </c>
      <c r="C238" s="26" t="s">
        <v>177</v>
      </c>
      <c r="D238" s="27" t="s">
        <v>199</v>
      </c>
      <c r="G238" s="28">
        <v>17.5</v>
      </c>
      <c r="H238" s="26">
        <v>0</v>
      </c>
      <c r="I238" s="26">
        <v>12</v>
      </c>
      <c r="J238" s="36">
        <v>2</v>
      </c>
      <c r="K238" s="34">
        <v>2014</v>
      </c>
      <c r="L238" s="34">
        <v>2</v>
      </c>
      <c r="M238" s="34">
        <v>28</v>
      </c>
      <c r="N238" s="26"/>
    </row>
    <row r="239" spans="1:14">
      <c r="A239" s="26">
        <v>100201</v>
      </c>
      <c r="B239" s="27" t="s">
        <v>373</v>
      </c>
      <c r="C239" s="26" t="s">
        <v>47</v>
      </c>
      <c r="D239" s="27" t="s">
        <v>48</v>
      </c>
      <c r="G239" s="28">
        <v>0</v>
      </c>
      <c r="H239" s="26">
        <v>16.5</v>
      </c>
      <c r="I239" s="26">
        <v>12</v>
      </c>
      <c r="J239" s="36">
        <v>2</v>
      </c>
      <c r="K239" s="34">
        <v>2014</v>
      </c>
      <c r="L239" s="34">
        <v>2</v>
      </c>
      <c r="M239" s="34">
        <v>28</v>
      </c>
      <c r="N239" s="26"/>
    </row>
    <row r="240" spans="1:14">
      <c r="A240" s="26">
        <v>100201</v>
      </c>
      <c r="B240" s="27" t="s">
        <v>374</v>
      </c>
      <c r="C240" s="26" t="s">
        <v>47</v>
      </c>
      <c r="D240" s="27" t="s">
        <v>48</v>
      </c>
      <c r="G240" s="28">
        <v>0</v>
      </c>
      <c r="H240" s="26">
        <v>1</v>
      </c>
      <c r="I240" s="26">
        <v>12</v>
      </c>
      <c r="J240" s="36">
        <v>2</v>
      </c>
      <c r="K240" s="34">
        <v>2014</v>
      </c>
      <c r="L240" s="34">
        <v>2</v>
      </c>
      <c r="M240" s="34">
        <v>28</v>
      </c>
      <c r="N240" s="26"/>
    </row>
    <row r="241" spans="1:14">
      <c r="A241" s="26">
        <v>220301</v>
      </c>
      <c r="B241" s="27" t="s">
        <v>375</v>
      </c>
      <c r="C241" s="26" t="s">
        <v>107</v>
      </c>
      <c r="D241" s="27" t="s">
        <v>59</v>
      </c>
      <c r="G241" s="28">
        <v>0</v>
      </c>
      <c r="H241" s="26">
        <v>277600</v>
      </c>
      <c r="I241" s="26">
        <v>13</v>
      </c>
      <c r="J241" s="36">
        <v>1</v>
      </c>
      <c r="K241" s="34">
        <v>2014</v>
      </c>
      <c r="L241" s="34">
        <v>2</v>
      </c>
      <c r="M241" s="34">
        <v>28</v>
      </c>
      <c r="N241" s="26"/>
    </row>
    <row r="242" spans="1:14">
      <c r="A242" s="26">
        <v>100201</v>
      </c>
      <c r="B242" s="27" t="s">
        <v>376</v>
      </c>
      <c r="C242" s="26" t="s">
        <v>47</v>
      </c>
      <c r="D242" s="27" t="s">
        <v>48</v>
      </c>
      <c r="G242" s="28">
        <v>277600</v>
      </c>
      <c r="H242" s="26">
        <v>0</v>
      </c>
      <c r="I242" s="26">
        <v>13</v>
      </c>
      <c r="J242" s="36">
        <v>1</v>
      </c>
      <c r="K242" s="34">
        <v>2014</v>
      </c>
      <c r="L242" s="34">
        <v>2</v>
      </c>
      <c r="M242" s="34">
        <v>28</v>
      </c>
      <c r="N242" s="26"/>
    </row>
    <row r="243" spans="1:14">
      <c r="A243" s="26">
        <v>112301</v>
      </c>
      <c r="B243" s="27" t="s">
        <v>377</v>
      </c>
      <c r="C243" s="26" t="s">
        <v>64</v>
      </c>
      <c r="D243" s="27" t="s">
        <v>65</v>
      </c>
      <c r="G243" s="28">
        <v>188860</v>
      </c>
      <c r="H243" s="26">
        <v>0</v>
      </c>
      <c r="I243" s="26">
        <v>14</v>
      </c>
      <c r="J243" s="36">
        <v>1</v>
      </c>
      <c r="K243" s="34">
        <v>2014</v>
      </c>
      <c r="L243" s="34">
        <v>2</v>
      </c>
      <c r="M243" s="34">
        <v>28</v>
      </c>
      <c r="N243" s="26"/>
    </row>
    <row r="244" spans="1:14">
      <c r="A244" s="26">
        <v>100201</v>
      </c>
      <c r="B244" s="27" t="s">
        <v>378</v>
      </c>
      <c r="C244" s="26" t="s">
        <v>47</v>
      </c>
      <c r="D244" s="27" t="s">
        <v>48</v>
      </c>
      <c r="G244" s="28">
        <v>0</v>
      </c>
      <c r="H244" s="26">
        <v>188860</v>
      </c>
      <c r="I244" s="26">
        <v>14</v>
      </c>
      <c r="J244" s="36">
        <v>1</v>
      </c>
      <c r="K244" s="34">
        <v>2014</v>
      </c>
      <c r="L244" s="34">
        <v>2</v>
      </c>
      <c r="M244" s="34">
        <v>28</v>
      </c>
      <c r="N244" s="26"/>
    </row>
    <row r="245" spans="1:14">
      <c r="A245" s="26">
        <v>224101</v>
      </c>
      <c r="B245" s="27" t="s">
        <v>379</v>
      </c>
      <c r="C245" s="26" t="s">
        <v>140</v>
      </c>
      <c r="D245" s="27" t="s">
        <v>12</v>
      </c>
      <c r="G245" s="28">
        <v>90000</v>
      </c>
      <c r="H245" s="26">
        <v>0</v>
      </c>
      <c r="I245" s="26">
        <v>15</v>
      </c>
      <c r="J245" s="36">
        <v>1</v>
      </c>
      <c r="K245" s="34">
        <v>2014</v>
      </c>
      <c r="L245" s="34">
        <v>2</v>
      </c>
      <c r="M245" s="34">
        <v>28</v>
      </c>
      <c r="N245" s="26"/>
    </row>
    <row r="246" spans="1:14">
      <c r="A246" s="26">
        <v>100201</v>
      </c>
      <c r="B246" s="27" t="s">
        <v>379</v>
      </c>
      <c r="C246" s="26" t="s">
        <v>47</v>
      </c>
      <c r="D246" s="27" t="s">
        <v>48</v>
      </c>
      <c r="G246" s="28">
        <v>0</v>
      </c>
      <c r="H246" s="26">
        <v>90000</v>
      </c>
      <c r="I246" s="26">
        <v>15</v>
      </c>
      <c r="J246" s="36">
        <v>1</v>
      </c>
      <c r="K246" s="34">
        <v>2014</v>
      </c>
      <c r="L246" s="34">
        <v>2</v>
      </c>
      <c r="M246" s="34">
        <v>28</v>
      </c>
      <c r="N246" s="26"/>
    </row>
    <row r="247" spans="1:14">
      <c r="A247" s="26">
        <v>221103</v>
      </c>
      <c r="B247" s="27" t="s">
        <v>216</v>
      </c>
      <c r="C247" s="26" t="s">
        <v>113</v>
      </c>
      <c r="D247" s="27" t="s">
        <v>116</v>
      </c>
      <c r="G247" s="28">
        <v>615</v>
      </c>
      <c r="H247" s="26">
        <v>0</v>
      </c>
      <c r="I247" s="26">
        <v>16</v>
      </c>
      <c r="J247" s="36">
        <v>4</v>
      </c>
      <c r="K247" s="34">
        <v>2014</v>
      </c>
      <c r="L247" s="34">
        <v>2</v>
      </c>
      <c r="M247" s="34">
        <v>28</v>
      </c>
      <c r="N247" s="26"/>
    </row>
    <row r="248" spans="1:14">
      <c r="A248" s="26">
        <v>560206</v>
      </c>
      <c r="B248" s="27" t="s">
        <v>380</v>
      </c>
      <c r="C248" s="26" t="s">
        <v>166</v>
      </c>
      <c r="D248" s="27" t="s">
        <v>172</v>
      </c>
      <c r="G248" s="28">
        <v>200</v>
      </c>
      <c r="H248" s="26">
        <v>0</v>
      </c>
      <c r="I248" s="26">
        <v>16</v>
      </c>
      <c r="J248" s="36">
        <v>4</v>
      </c>
      <c r="K248" s="34">
        <v>2014</v>
      </c>
      <c r="L248" s="34">
        <v>2</v>
      </c>
      <c r="M248" s="34">
        <v>28</v>
      </c>
      <c r="N248" s="26"/>
    </row>
    <row r="249" spans="1:14">
      <c r="A249" s="26">
        <v>100101</v>
      </c>
      <c r="B249" s="27" t="s">
        <v>381</v>
      </c>
      <c r="C249" s="26" t="s">
        <v>46</v>
      </c>
      <c r="D249" s="27" t="s">
        <v>199</v>
      </c>
      <c r="G249" s="28">
        <v>0</v>
      </c>
      <c r="H249" s="26">
        <v>815</v>
      </c>
      <c r="I249" s="26">
        <v>16</v>
      </c>
      <c r="J249" s="36">
        <v>4</v>
      </c>
      <c r="K249" s="34">
        <v>2014</v>
      </c>
      <c r="L249" s="34">
        <v>2</v>
      </c>
      <c r="M249" s="34">
        <v>28</v>
      </c>
      <c r="N249" s="26"/>
    </row>
    <row r="250" spans="1:14">
      <c r="A250" s="26">
        <v>540303</v>
      </c>
      <c r="B250" s="27" t="s">
        <v>382</v>
      </c>
      <c r="C250" s="26" t="s">
        <v>165</v>
      </c>
      <c r="D250" s="27" t="s">
        <v>131</v>
      </c>
      <c r="G250" s="28">
        <v>0.5</v>
      </c>
      <c r="H250" s="26">
        <v>0</v>
      </c>
      <c r="I250" s="26">
        <v>17</v>
      </c>
      <c r="J250" s="36">
        <v>1</v>
      </c>
      <c r="K250" s="34">
        <v>2014</v>
      </c>
      <c r="L250" s="34">
        <v>2</v>
      </c>
      <c r="M250" s="34">
        <v>28</v>
      </c>
      <c r="N250" s="26"/>
    </row>
    <row r="251" spans="1:14">
      <c r="A251" s="26">
        <v>560206</v>
      </c>
      <c r="B251" s="27" t="s">
        <v>382</v>
      </c>
      <c r="C251" s="26" t="s">
        <v>166</v>
      </c>
      <c r="D251" s="27" t="s">
        <v>172</v>
      </c>
      <c r="G251" s="28">
        <v>1.61</v>
      </c>
      <c r="H251" s="26">
        <v>0</v>
      </c>
      <c r="I251" s="26">
        <v>17</v>
      </c>
      <c r="J251" s="36">
        <v>1</v>
      </c>
      <c r="K251" s="34">
        <v>2014</v>
      </c>
      <c r="L251" s="34">
        <v>2</v>
      </c>
      <c r="M251" s="34">
        <v>28</v>
      </c>
      <c r="N251" s="26"/>
    </row>
    <row r="252" spans="1:14">
      <c r="A252" s="26">
        <v>222105</v>
      </c>
      <c r="B252" s="27" t="s">
        <v>382</v>
      </c>
      <c r="C252" s="26" t="s">
        <v>126</v>
      </c>
      <c r="D252" s="27" t="s">
        <v>131</v>
      </c>
      <c r="G252" s="28">
        <v>0</v>
      </c>
      <c r="H252" s="26">
        <v>0.5</v>
      </c>
      <c r="I252" s="26">
        <v>17</v>
      </c>
      <c r="J252" s="36">
        <v>1</v>
      </c>
      <c r="K252" s="34">
        <v>2014</v>
      </c>
      <c r="L252" s="34">
        <v>2</v>
      </c>
      <c r="M252" s="34">
        <v>28</v>
      </c>
      <c r="N252" s="26"/>
    </row>
    <row r="253" spans="1:14">
      <c r="A253" s="26">
        <v>224104</v>
      </c>
      <c r="B253" s="27" t="s">
        <v>382</v>
      </c>
      <c r="C253" s="26" t="s">
        <v>140</v>
      </c>
      <c r="D253" s="27" t="s">
        <v>142</v>
      </c>
      <c r="G253" s="28">
        <v>0</v>
      </c>
      <c r="H253" s="26">
        <v>1.61</v>
      </c>
      <c r="I253" s="26">
        <v>17</v>
      </c>
      <c r="J253" s="36">
        <v>1</v>
      </c>
      <c r="K253" s="34">
        <v>2014</v>
      </c>
      <c r="L253" s="34">
        <v>2</v>
      </c>
      <c r="M253" s="34">
        <v>28</v>
      </c>
      <c r="N253" s="26"/>
    </row>
    <row r="254" spans="1:14">
      <c r="A254" s="26">
        <v>100201</v>
      </c>
      <c r="B254" s="27" t="s">
        <v>383</v>
      </c>
      <c r="C254" s="26" t="s">
        <v>47</v>
      </c>
      <c r="D254" s="27" t="s">
        <v>48</v>
      </c>
      <c r="G254" s="28">
        <v>0</v>
      </c>
      <c r="H254" s="26">
        <v>2.5</v>
      </c>
      <c r="I254" s="26">
        <v>18</v>
      </c>
      <c r="J254" s="36">
        <v>1</v>
      </c>
      <c r="K254" s="34">
        <v>2014</v>
      </c>
      <c r="L254" s="34">
        <v>2</v>
      </c>
      <c r="M254" s="34">
        <v>28</v>
      </c>
      <c r="N254" s="26"/>
    </row>
    <row r="255" spans="1:14">
      <c r="A255" s="26">
        <v>560301</v>
      </c>
      <c r="B255" s="27" t="s">
        <v>225</v>
      </c>
      <c r="C255" s="26" t="s">
        <v>177</v>
      </c>
      <c r="D255" s="27" t="s">
        <v>199</v>
      </c>
      <c r="G255" s="28">
        <v>2.5</v>
      </c>
      <c r="H255" s="26">
        <v>0</v>
      </c>
      <c r="I255" s="26">
        <v>18</v>
      </c>
      <c r="J255" s="36">
        <v>1</v>
      </c>
      <c r="K255" s="34">
        <v>2014</v>
      </c>
      <c r="L255" s="34">
        <v>2</v>
      </c>
      <c r="M255" s="34">
        <v>28</v>
      </c>
      <c r="N255" s="26"/>
    </row>
    <row r="256" spans="1:14">
      <c r="A256" s="26">
        <v>224101</v>
      </c>
      <c r="B256" s="27" t="s">
        <v>384</v>
      </c>
      <c r="C256" s="26" t="s">
        <v>140</v>
      </c>
      <c r="D256" s="27" t="s">
        <v>12</v>
      </c>
      <c r="G256" s="28">
        <v>9999.25</v>
      </c>
      <c r="H256" s="26">
        <v>0</v>
      </c>
      <c r="I256" s="26">
        <v>1</v>
      </c>
      <c r="J256" s="36">
        <v>0</v>
      </c>
      <c r="K256" s="34">
        <v>2014</v>
      </c>
      <c r="L256" s="34">
        <v>3</v>
      </c>
      <c r="M256" s="34">
        <v>10</v>
      </c>
      <c r="N256" s="26"/>
    </row>
    <row r="257" spans="1:14">
      <c r="A257" s="26">
        <v>224102</v>
      </c>
      <c r="B257" s="27" t="s">
        <v>384</v>
      </c>
      <c r="C257" s="26" t="s">
        <v>140</v>
      </c>
      <c r="D257" s="27" t="s">
        <v>81</v>
      </c>
      <c r="G257" s="28">
        <v>0</v>
      </c>
      <c r="H257" s="26">
        <v>9999.25</v>
      </c>
      <c r="I257" s="26">
        <v>1</v>
      </c>
      <c r="J257" s="36">
        <v>0</v>
      </c>
      <c r="K257" s="34">
        <v>2014</v>
      </c>
      <c r="L257" s="34">
        <v>3</v>
      </c>
      <c r="M257" s="34">
        <v>10</v>
      </c>
      <c r="N257" s="26"/>
    </row>
    <row r="258" spans="1:14">
      <c r="A258" s="26">
        <v>100101</v>
      </c>
      <c r="B258" s="27" t="s">
        <v>385</v>
      </c>
      <c r="C258" s="26" t="s">
        <v>46</v>
      </c>
      <c r="D258" s="27" t="s">
        <v>199</v>
      </c>
      <c r="G258" s="28">
        <v>14000</v>
      </c>
      <c r="H258" s="26">
        <v>0</v>
      </c>
      <c r="I258" s="26">
        <v>2</v>
      </c>
      <c r="J258" s="36">
        <v>1</v>
      </c>
      <c r="K258" s="34">
        <v>2014</v>
      </c>
      <c r="L258" s="34">
        <v>3</v>
      </c>
      <c r="M258" s="34">
        <v>10</v>
      </c>
      <c r="N258" s="26"/>
    </row>
    <row r="259" spans="1:14">
      <c r="A259" s="26">
        <v>100201</v>
      </c>
      <c r="B259" s="27" t="s">
        <v>386</v>
      </c>
      <c r="C259" s="26" t="s">
        <v>47</v>
      </c>
      <c r="D259" s="27" t="s">
        <v>48</v>
      </c>
      <c r="G259" s="28">
        <v>0</v>
      </c>
      <c r="H259" s="26">
        <v>14000</v>
      </c>
      <c r="I259" s="26">
        <v>2</v>
      </c>
      <c r="J259" s="36">
        <v>1</v>
      </c>
      <c r="K259" s="34">
        <v>2014</v>
      </c>
      <c r="L259" s="34">
        <v>3</v>
      </c>
      <c r="M259" s="34">
        <v>10</v>
      </c>
      <c r="N259" s="26"/>
    </row>
    <row r="260" spans="1:14">
      <c r="A260" s="26">
        <v>112205</v>
      </c>
      <c r="B260" s="27" t="s">
        <v>387</v>
      </c>
      <c r="C260" s="26" t="s">
        <v>49</v>
      </c>
      <c r="D260" s="27" t="s">
        <v>366</v>
      </c>
      <c r="G260" s="28">
        <v>0</v>
      </c>
      <c r="H260" s="26">
        <v>1880</v>
      </c>
      <c r="I260" s="26">
        <v>3</v>
      </c>
      <c r="J260" s="36">
        <v>1</v>
      </c>
      <c r="K260" s="34">
        <v>2014</v>
      </c>
      <c r="L260" s="34">
        <v>3</v>
      </c>
      <c r="M260" s="34">
        <v>10</v>
      </c>
      <c r="N260" s="26"/>
    </row>
    <row r="261" spans="1:14">
      <c r="A261" s="26">
        <v>100101</v>
      </c>
      <c r="B261" s="27" t="s">
        <v>388</v>
      </c>
      <c r="C261" s="26" t="s">
        <v>46</v>
      </c>
      <c r="D261" s="27" t="s">
        <v>199</v>
      </c>
      <c r="G261" s="28">
        <v>1880</v>
      </c>
      <c r="H261" s="26">
        <v>0</v>
      </c>
      <c r="I261" s="26">
        <v>3</v>
      </c>
      <c r="J261" s="36">
        <v>1</v>
      </c>
      <c r="K261" s="34">
        <v>2014</v>
      </c>
      <c r="L261" s="34">
        <v>3</v>
      </c>
      <c r="M261" s="34">
        <v>10</v>
      </c>
      <c r="N261" s="26"/>
    </row>
    <row r="262" spans="1:14">
      <c r="A262" s="26">
        <v>560206</v>
      </c>
      <c r="B262" s="27" t="s">
        <v>389</v>
      </c>
      <c r="C262" s="26" t="s">
        <v>166</v>
      </c>
      <c r="D262" s="27" t="s">
        <v>172</v>
      </c>
      <c r="G262" s="28">
        <v>324</v>
      </c>
      <c r="H262" s="26">
        <v>0</v>
      </c>
      <c r="I262" s="26">
        <v>4</v>
      </c>
      <c r="J262" s="36">
        <v>1</v>
      </c>
      <c r="K262" s="34">
        <v>2014</v>
      </c>
      <c r="L262" s="34">
        <v>3</v>
      </c>
      <c r="M262" s="34">
        <v>10</v>
      </c>
      <c r="N262" s="26"/>
    </row>
    <row r="263" spans="1:14">
      <c r="A263" s="26">
        <v>100101</v>
      </c>
      <c r="B263" s="27" t="s">
        <v>390</v>
      </c>
      <c r="C263" s="26" t="s">
        <v>46</v>
      </c>
      <c r="D263" s="27" t="s">
        <v>199</v>
      </c>
      <c r="G263" s="28">
        <v>0</v>
      </c>
      <c r="H263" s="26">
        <v>324</v>
      </c>
      <c r="I263" s="26">
        <v>4</v>
      </c>
      <c r="J263" s="36">
        <v>1</v>
      </c>
      <c r="K263" s="34">
        <v>2014</v>
      </c>
      <c r="L263" s="34">
        <v>3</v>
      </c>
      <c r="M263" s="34">
        <v>10</v>
      </c>
      <c r="N263" s="26"/>
    </row>
    <row r="264" spans="1:14">
      <c r="A264" s="26">
        <v>221101</v>
      </c>
      <c r="B264" s="27" t="s">
        <v>391</v>
      </c>
      <c r="C264" s="26" t="s">
        <v>113</v>
      </c>
      <c r="D264" s="27" t="s">
        <v>114</v>
      </c>
      <c r="G264" s="28">
        <v>13500</v>
      </c>
      <c r="H264" s="26">
        <v>0</v>
      </c>
      <c r="I264" s="26">
        <v>5</v>
      </c>
      <c r="J264" s="36">
        <v>1</v>
      </c>
      <c r="K264" s="34">
        <v>2014</v>
      </c>
      <c r="L264" s="34">
        <v>3</v>
      </c>
      <c r="M264" s="34">
        <v>10</v>
      </c>
      <c r="N264" s="26"/>
    </row>
    <row r="265" spans="1:14">
      <c r="A265" s="26">
        <v>221102</v>
      </c>
      <c r="B265" s="27" t="s">
        <v>391</v>
      </c>
      <c r="C265" s="26" t="s">
        <v>113</v>
      </c>
      <c r="D265" s="27" t="s">
        <v>115</v>
      </c>
      <c r="G265" s="28">
        <v>370</v>
      </c>
      <c r="H265" s="26">
        <v>0</v>
      </c>
      <c r="I265" s="26">
        <v>5</v>
      </c>
      <c r="J265" s="36">
        <v>1</v>
      </c>
      <c r="K265" s="34">
        <v>2014</v>
      </c>
      <c r="L265" s="34">
        <v>3</v>
      </c>
      <c r="M265" s="34">
        <v>10</v>
      </c>
      <c r="N265" s="26"/>
    </row>
    <row r="266" spans="1:14">
      <c r="A266" s="26">
        <v>221104</v>
      </c>
      <c r="B266" s="27" t="s">
        <v>391</v>
      </c>
      <c r="C266" s="26" t="s">
        <v>113</v>
      </c>
      <c r="D266" s="27" t="s">
        <v>117</v>
      </c>
      <c r="G266" s="28">
        <v>0</v>
      </c>
      <c r="H266" s="26">
        <v>499.1</v>
      </c>
      <c r="I266" s="26">
        <v>5</v>
      </c>
      <c r="J266" s="36">
        <v>1</v>
      </c>
      <c r="K266" s="34">
        <v>2014</v>
      </c>
      <c r="L266" s="34">
        <v>3</v>
      </c>
      <c r="M266" s="34">
        <v>10</v>
      </c>
      <c r="N266" s="26"/>
    </row>
    <row r="267" spans="1:14">
      <c r="A267" s="26">
        <v>100101</v>
      </c>
      <c r="B267" s="27" t="s">
        <v>391</v>
      </c>
      <c r="C267" s="26" t="s">
        <v>46</v>
      </c>
      <c r="D267" s="27" t="s">
        <v>199</v>
      </c>
      <c r="G267" s="28">
        <v>0</v>
      </c>
      <c r="H267" s="26">
        <v>13370.9</v>
      </c>
      <c r="I267" s="26">
        <v>5</v>
      </c>
      <c r="J267" s="36">
        <v>1</v>
      </c>
      <c r="K267" s="34">
        <v>2014</v>
      </c>
      <c r="L267" s="34">
        <v>3</v>
      </c>
      <c r="M267" s="34">
        <v>10</v>
      </c>
      <c r="N267" s="26"/>
    </row>
    <row r="268" spans="1:14">
      <c r="A268" s="26">
        <v>560201</v>
      </c>
      <c r="B268" s="27" t="s">
        <v>392</v>
      </c>
      <c r="C268" s="26" t="s">
        <v>166</v>
      </c>
      <c r="D268" s="27" t="s">
        <v>235</v>
      </c>
      <c r="G268" s="28">
        <v>1244</v>
      </c>
      <c r="H268" s="26">
        <v>0</v>
      </c>
      <c r="I268" s="26">
        <v>6</v>
      </c>
      <c r="J268" s="36">
        <v>1</v>
      </c>
      <c r="K268" s="34">
        <v>2014</v>
      </c>
      <c r="L268" s="34">
        <v>3</v>
      </c>
      <c r="M268" s="34">
        <v>10</v>
      </c>
      <c r="N268" s="26"/>
    </row>
    <row r="269" spans="1:14">
      <c r="A269" s="26">
        <v>221101</v>
      </c>
      <c r="B269" s="27" t="s">
        <v>392</v>
      </c>
      <c r="C269" s="26" t="s">
        <v>113</v>
      </c>
      <c r="D269" s="27" t="s">
        <v>114</v>
      </c>
      <c r="G269" s="28">
        <v>0</v>
      </c>
      <c r="H269" s="26">
        <v>1244</v>
      </c>
      <c r="I269" s="26">
        <v>6</v>
      </c>
      <c r="J269" s="36">
        <v>1</v>
      </c>
      <c r="K269" s="34">
        <v>2014</v>
      </c>
      <c r="L269" s="34">
        <v>3</v>
      </c>
      <c r="M269" s="34">
        <v>10</v>
      </c>
      <c r="N269" s="26"/>
    </row>
    <row r="270" spans="1:14">
      <c r="A270" s="26">
        <v>221101</v>
      </c>
      <c r="B270" s="27" t="s">
        <v>392</v>
      </c>
      <c r="C270" s="26" t="s">
        <v>113</v>
      </c>
      <c r="D270" s="27" t="s">
        <v>114</v>
      </c>
      <c r="G270" s="28">
        <v>1244</v>
      </c>
      <c r="H270" s="26">
        <v>0</v>
      </c>
      <c r="I270" s="26">
        <v>6</v>
      </c>
      <c r="J270" s="36">
        <v>1</v>
      </c>
      <c r="K270" s="34">
        <v>2014</v>
      </c>
      <c r="L270" s="34">
        <v>3</v>
      </c>
      <c r="M270" s="34">
        <v>10</v>
      </c>
      <c r="N270" s="26"/>
    </row>
    <row r="271" spans="1:14">
      <c r="A271" s="26">
        <v>100101</v>
      </c>
      <c r="B271" s="27" t="s">
        <v>393</v>
      </c>
      <c r="C271" s="26" t="s">
        <v>46</v>
      </c>
      <c r="D271" s="27" t="s">
        <v>199</v>
      </c>
      <c r="G271" s="28">
        <v>0</v>
      </c>
      <c r="H271" s="26">
        <v>1244</v>
      </c>
      <c r="I271" s="26">
        <v>6</v>
      </c>
      <c r="J271" s="36">
        <v>1</v>
      </c>
      <c r="K271" s="34">
        <v>2014</v>
      </c>
      <c r="L271" s="34">
        <v>3</v>
      </c>
      <c r="M271" s="34">
        <v>10</v>
      </c>
      <c r="N271" s="26"/>
    </row>
    <row r="272" spans="1:14">
      <c r="A272" s="26">
        <v>560203</v>
      </c>
      <c r="B272" s="27" t="s">
        <v>360</v>
      </c>
      <c r="C272" s="26" t="s">
        <v>166</v>
      </c>
      <c r="D272" s="27" t="s">
        <v>169</v>
      </c>
      <c r="G272" s="28">
        <v>120</v>
      </c>
      <c r="H272" s="26">
        <v>0</v>
      </c>
      <c r="I272" s="26">
        <v>7</v>
      </c>
      <c r="J272" s="36">
        <v>2</v>
      </c>
      <c r="K272" s="34">
        <v>2014</v>
      </c>
      <c r="L272" s="34">
        <v>3</v>
      </c>
      <c r="M272" s="34">
        <v>12</v>
      </c>
      <c r="N272" s="26"/>
    </row>
    <row r="273" spans="1:14">
      <c r="A273" s="26">
        <v>100101</v>
      </c>
      <c r="B273" s="27" t="s">
        <v>394</v>
      </c>
      <c r="C273" s="26" t="s">
        <v>46</v>
      </c>
      <c r="D273" s="27" t="s">
        <v>199</v>
      </c>
      <c r="G273" s="28">
        <v>0</v>
      </c>
      <c r="H273" s="26">
        <v>120</v>
      </c>
      <c r="I273" s="26">
        <v>7</v>
      </c>
      <c r="J273" s="36">
        <v>2</v>
      </c>
      <c r="K273" s="34">
        <v>2014</v>
      </c>
      <c r="L273" s="34">
        <v>3</v>
      </c>
      <c r="M273" s="34">
        <v>12</v>
      </c>
      <c r="N273" s="26"/>
    </row>
    <row r="274" spans="1:14">
      <c r="A274" s="26">
        <v>221104</v>
      </c>
      <c r="B274" s="27" t="s">
        <v>395</v>
      </c>
      <c r="C274" s="26" t="s">
        <v>113</v>
      </c>
      <c r="D274" s="27" t="s">
        <v>117</v>
      </c>
      <c r="G274" s="28">
        <v>5585.58</v>
      </c>
      <c r="H274" s="26">
        <v>0</v>
      </c>
      <c r="I274" s="26">
        <v>8</v>
      </c>
      <c r="J274" s="36">
        <v>2</v>
      </c>
      <c r="K274" s="34">
        <v>2014</v>
      </c>
      <c r="L274" s="34">
        <v>3</v>
      </c>
      <c r="M274" s="34">
        <v>12</v>
      </c>
      <c r="N274" s="26"/>
    </row>
    <row r="275" spans="1:14">
      <c r="A275" s="26">
        <v>100201</v>
      </c>
      <c r="B275" s="27" t="s">
        <v>396</v>
      </c>
      <c r="C275" s="26" t="s">
        <v>47</v>
      </c>
      <c r="D275" s="27" t="s">
        <v>48</v>
      </c>
      <c r="G275" s="28">
        <v>0</v>
      </c>
      <c r="H275" s="26">
        <v>5585.58</v>
      </c>
      <c r="I275" s="26">
        <v>8</v>
      </c>
      <c r="J275" s="36">
        <v>2</v>
      </c>
      <c r="K275" s="34">
        <v>2014</v>
      </c>
      <c r="L275" s="34">
        <v>3</v>
      </c>
      <c r="M275" s="34">
        <v>12</v>
      </c>
      <c r="N275" s="26"/>
    </row>
    <row r="276" spans="1:14">
      <c r="A276" s="26">
        <v>224103</v>
      </c>
      <c r="B276" s="27" t="s">
        <v>397</v>
      </c>
      <c r="C276" s="26" t="s">
        <v>140</v>
      </c>
      <c r="D276" s="27" t="s">
        <v>141</v>
      </c>
      <c r="G276" s="28">
        <v>2357.1</v>
      </c>
      <c r="H276" s="26">
        <v>0</v>
      </c>
      <c r="I276" s="26">
        <v>9</v>
      </c>
      <c r="J276" s="36">
        <v>0</v>
      </c>
      <c r="K276" s="34">
        <v>2014</v>
      </c>
      <c r="L276" s="34">
        <v>3</v>
      </c>
      <c r="M276" s="34">
        <v>12</v>
      </c>
      <c r="N276" s="26"/>
    </row>
    <row r="277" spans="1:14">
      <c r="A277" s="26">
        <v>221104</v>
      </c>
      <c r="B277" s="27" t="s">
        <v>397</v>
      </c>
      <c r="C277" s="26" t="s">
        <v>113</v>
      </c>
      <c r="D277" s="27" t="s">
        <v>117</v>
      </c>
      <c r="G277" s="28">
        <v>0</v>
      </c>
      <c r="H277" s="26">
        <v>2357.1</v>
      </c>
      <c r="I277" s="26">
        <v>9</v>
      </c>
      <c r="J277" s="36">
        <v>0</v>
      </c>
      <c r="K277" s="34">
        <v>2014</v>
      </c>
      <c r="L277" s="34">
        <v>3</v>
      </c>
      <c r="M277" s="34">
        <v>12</v>
      </c>
      <c r="N277" s="26"/>
    </row>
    <row r="278" spans="1:14">
      <c r="A278" s="26">
        <v>560201</v>
      </c>
      <c r="B278" s="27" t="s">
        <v>398</v>
      </c>
      <c r="C278" s="26" t="s">
        <v>166</v>
      </c>
      <c r="D278" s="27" t="s">
        <v>235</v>
      </c>
      <c r="G278" s="28">
        <v>14841.68</v>
      </c>
      <c r="H278" s="26">
        <v>0</v>
      </c>
      <c r="I278" s="26">
        <v>10</v>
      </c>
      <c r="J278" s="36">
        <v>1</v>
      </c>
      <c r="K278" s="34">
        <v>2014</v>
      </c>
      <c r="L278" s="34">
        <v>3</v>
      </c>
      <c r="M278" s="34">
        <v>12</v>
      </c>
      <c r="N278" s="26"/>
    </row>
    <row r="279" spans="1:14">
      <c r="A279" s="26">
        <v>560203</v>
      </c>
      <c r="B279" s="27" t="s">
        <v>399</v>
      </c>
      <c r="C279" s="26" t="s">
        <v>166</v>
      </c>
      <c r="D279" s="27" t="s">
        <v>169</v>
      </c>
      <c r="G279" s="28">
        <v>370</v>
      </c>
      <c r="H279" s="26">
        <v>0</v>
      </c>
      <c r="I279" s="26">
        <v>10</v>
      </c>
      <c r="J279" s="36">
        <v>1</v>
      </c>
      <c r="K279" s="34">
        <v>2014</v>
      </c>
      <c r="L279" s="34">
        <v>3</v>
      </c>
      <c r="M279" s="34">
        <v>12</v>
      </c>
      <c r="N279" s="26"/>
    </row>
    <row r="280" spans="1:14">
      <c r="A280" s="26">
        <v>221101</v>
      </c>
      <c r="B280" s="27" t="s">
        <v>398</v>
      </c>
      <c r="C280" s="26" t="s">
        <v>113</v>
      </c>
      <c r="D280" s="27" t="s">
        <v>114</v>
      </c>
      <c r="G280" s="28">
        <v>0</v>
      </c>
      <c r="H280" s="26">
        <v>13500</v>
      </c>
      <c r="I280" s="26">
        <v>10</v>
      </c>
      <c r="J280" s="36">
        <v>1</v>
      </c>
      <c r="K280" s="34">
        <v>2014</v>
      </c>
      <c r="L280" s="34">
        <v>3</v>
      </c>
      <c r="M280" s="34">
        <v>12</v>
      </c>
      <c r="N280" s="26"/>
    </row>
    <row r="281" spans="1:14">
      <c r="A281" s="26">
        <v>221102</v>
      </c>
      <c r="B281" s="27" t="s">
        <v>399</v>
      </c>
      <c r="C281" s="26" t="s">
        <v>113</v>
      </c>
      <c r="D281" s="27" t="s">
        <v>115</v>
      </c>
      <c r="G281" s="28">
        <v>0</v>
      </c>
      <c r="H281" s="26">
        <v>370</v>
      </c>
      <c r="I281" s="26">
        <v>10</v>
      </c>
      <c r="J281" s="36">
        <v>1</v>
      </c>
      <c r="K281" s="34">
        <v>2014</v>
      </c>
      <c r="L281" s="34">
        <v>3</v>
      </c>
      <c r="M281" s="34">
        <v>12</v>
      </c>
      <c r="N281" s="26"/>
    </row>
    <row r="282" spans="1:14">
      <c r="A282" s="26">
        <v>221104</v>
      </c>
      <c r="B282" s="27" t="s">
        <v>400</v>
      </c>
      <c r="C282" s="26" t="s">
        <v>113</v>
      </c>
      <c r="D282" s="27" t="s">
        <v>117</v>
      </c>
      <c r="G282" s="28">
        <v>0</v>
      </c>
      <c r="H282" s="26">
        <v>1341.68</v>
      </c>
      <c r="I282" s="26">
        <v>10</v>
      </c>
      <c r="J282" s="36">
        <v>1</v>
      </c>
      <c r="K282" s="34">
        <v>2014</v>
      </c>
      <c r="L282" s="34">
        <v>3</v>
      </c>
      <c r="M282" s="34">
        <v>12</v>
      </c>
      <c r="N282" s="26"/>
    </row>
    <row r="283" spans="1:14">
      <c r="A283" s="26">
        <v>440106</v>
      </c>
      <c r="B283" s="27" t="s">
        <v>401</v>
      </c>
      <c r="C283" s="26" t="s">
        <v>149</v>
      </c>
      <c r="D283" s="27" t="s">
        <v>354</v>
      </c>
      <c r="G283" s="28">
        <v>62700</v>
      </c>
      <c r="H283" s="26">
        <v>0</v>
      </c>
      <c r="I283" s="26">
        <v>11</v>
      </c>
      <c r="J283" s="36">
        <v>1</v>
      </c>
      <c r="K283" s="34">
        <v>2014</v>
      </c>
      <c r="L283" s="34">
        <v>3</v>
      </c>
      <c r="M283" s="34">
        <v>12</v>
      </c>
      <c r="N283" s="26"/>
    </row>
    <row r="284" spans="1:14">
      <c r="A284" s="26">
        <v>221101</v>
      </c>
      <c r="B284" s="27" t="s">
        <v>402</v>
      </c>
      <c r="C284" s="26" t="s">
        <v>113</v>
      </c>
      <c r="D284" s="27" t="s">
        <v>114</v>
      </c>
      <c r="G284" s="28">
        <v>0</v>
      </c>
      <c r="H284" s="26">
        <v>55000</v>
      </c>
      <c r="I284" s="26">
        <v>11</v>
      </c>
      <c r="J284" s="36">
        <v>1</v>
      </c>
      <c r="K284" s="34">
        <v>2014</v>
      </c>
      <c r="L284" s="34">
        <v>3</v>
      </c>
      <c r="M284" s="34">
        <v>12</v>
      </c>
      <c r="N284" s="26"/>
    </row>
    <row r="285" spans="1:14">
      <c r="A285" s="26">
        <v>221103</v>
      </c>
      <c r="B285" s="27" t="s">
        <v>403</v>
      </c>
      <c r="C285" s="26" t="s">
        <v>113</v>
      </c>
      <c r="D285" s="27" t="s">
        <v>116</v>
      </c>
      <c r="G285" s="28">
        <v>0</v>
      </c>
      <c r="H285" s="26">
        <v>7700</v>
      </c>
      <c r="I285" s="26">
        <v>11</v>
      </c>
      <c r="J285" s="36">
        <v>1</v>
      </c>
      <c r="K285" s="34">
        <v>2014</v>
      </c>
      <c r="L285" s="34">
        <v>3</v>
      </c>
      <c r="M285" s="34">
        <v>12</v>
      </c>
      <c r="N285" s="26"/>
    </row>
    <row r="286" spans="1:14">
      <c r="A286" s="26">
        <v>560201</v>
      </c>
      <c r="B286" s="27" t="s">
        <v>404</v>
      </c>
      <c r="C286" s="26" t="s">
        <v>166</v>
      </c>
      <c r="D286" s="27" t="s">
        <v>235</v>
      </c>
      <c r="G286" s="28">
        <v>1890</v>
      </c>
      <c r="H286" s="26">
        <v>0</v>
      </c>
      <c r="I286" s="26">
        <v>12</v>
      </c>
      <c r="J286" s="36">
        <v>1</v>
      </c>
      <c r="K286" s="34">
        <v>2014</v>
      </c>
      <c r="L286" s="34">
        <v>3</v>
      </c>
      <c r="M286" s="34">
        <v>12</v>
      </c>
      <c r="N286" s="26"/>
    </row>
    <row r="287" spans="1:14">
      <c r="A287" s="26">
        <v>221103</v>
      </c>
      <c r="B287" s="27" t="s">
        <v>404</v>
      </c>
      <c r="C287" s="26" t="s">
        <v>113</v>
      </c>
      <c r="D287" s="27" t="s">
        <v>116</v>
      </c>
      <c r="G287" s="28">
        <v>0</v>
      </c>
      <c r="H287" s="26">
        <v>1890</v>
      </c>
      <c r="I287" s="26">
        <v>12</v>
      </c>
      <c r="J287" s="36">
        <v>1</v>
      </c>
      <c r="K287" s="34">
        <v>2014</v>
      </c>
      <c r="L287" s="34">
        <v>3</v>
      </c>
      <c r="M287" s="34">
        <v>12</v>
      </c>
      <c r="N287" s="26"/>
    </row>
    <row r="288" spans="1:14">
      <c r="A288" s="26">
        <v>112204</v>
      </c>
      <c r="B288" s="27" t="s">
        <v>405</v>
      </c>
      <c r="C288" s="26" t="s">
        <v>49</v>
      </c>
      <c r="D288" s="27" t="s">
        <v>255</v>
      </c>
      <c r="G288" s="28">
        <v>2000</v>
      </c>
      <c r="H288" s="26">
        <v>0</v>
      </c>
      <c r="I288" s="26">
        <v>13</v>
      </c>
      <c r="J288" s="36">
        <v>2</v>
      </c>
      <c r="K288" s="34">
        <v>2014</v>
      </c>
      <c r="L288" s="34">
        <v>3</v>
      </c>
      <c r="M288" s="34">
        <v>12</v>
      </c>
      <c r="N288" s="26"/>
    </row>
    <row r="289" spans="1:14">
      <c r="A289" s="26">
        <v>112204</v>
      </c>
      <c r="B289" s="27" t="s">
        <v>406</v>
      </c>
      <c r="C289" s="26" t="s">
        <v>49</v>
      </c>
      <c r="D289" s="27" t="s">
        <v>255</v>
      </c>
      <c r="G289" s="28">
        <v>2000</v>
      </c>
      <c r="H289" s="26">
        <v>0</v>
      </c>
      <c r="I289" s="26">
        <v>13</v>
      </c>
      <c r="J289" s="36">
        <v>2</v>
      </c>
      <c r="K289" s="34">
        <v>2014</v>
      </c>
      <c r="L289" s="34">
        <v>3</v>
      </c>
      <c r="M289" s="34">
        <v>12</v>
      </c>
      <c r="N289" s="26"/>
    </row>
    <row r="290" spans="1:14">
      <c r="A290" s="26">
        <v>500102</v>
      </c>
      <c r="B290" s="27" t="s">
        <v>407</v>
      </c>
      <c r="C290" s="26" t="s">
        <v>157</v>
      </c>
      <c r="D290" s="27" t="s">
        <v>159</v>
      </c>
      <c r="G290" s="28">
        <v>0</v>
      </c>
      <c r="H290" s="26">
        <v>2000</v>
      </c>
      <c r="I290" s="26">
        <v>13</v>
      </c>
      <c r="J290" s="36">
        <v>2</v>
      </c>
      <c r="K290" s="34">
        <v>2014</v>
      </c>
      <c r="L290" s="34">
        <v>3</v>
      </c>
      <c r="M290" s="34">
        <v>12</v>
      </c>
      <c r="N290" s="26"/>
    </row>
    <row r="291" spans="1:14">
      <c r="A291" s="26">
        <v>500102</v>
      </c>
      <c r="B291" s="27" t="s">
        <v>408</v>
      </c>
      <c r="C291" s="26" t="s">
        <v>157</v>
      </c>
      <c r="D291" s="27" t="s">
        <v>159</v>
      </c>
      <c r="G291" s="28">
        <v>0</v>
      </c>
      <c r="H291" s="26">
        <v>2000</v>
      </c>
      <c r="I291" s="26">
        <v>13</v>
      </c>
      <c r="J291" s="36">
        <v>2</v>
      </c>
      <c r="K291" s="34">
        <v>2014</v>
      </c>
      <c r="L291" s="34">
        <v>3</v>
      </c>
      <c r="M291" s="34">
        <v>12</v>
      </c>
      <c r="N291" s="26"/>
    </row>
    <row r="292" spans="1:14">
      <c r="A292" s="26">
        <v>112204</v>
      </c>
      <c r="B292" s="27" t="s">
        <v>409</v>
      </c>
      <c r="C292" s="26" t="s">
        <v>49</v>
      </c>
      <c r="D292" s="27" t="s">
        <v>255</v>
      </c>
      <c r="G292" s="28">
        <v>4000</v>
      </c>
      <c r="H292" s="26">
        <v>0</v>
      </c>
      <c r="I292" s="26">
        <v>14</v>
      </c>
      <c r="J292" s="36">
        <v>1</v>
      </c>
      <c r="K292" s="34">
        <v>2014</v>
      </c>
      <c r="L292" s="34">
        <v>3</v>
      </c>
      <c r="M292" s="34">
        <v>12</v>
      </c>
      <c r="N292" s="26"/>
    </row>
    <row r="293" spans="1:14">
      <c r="A293" s="26">
        <v>500102</v>
      </c>
      <c r="B293" s="27" t="s">
        <v>410</v>
      </c>
      <c r="C293" s="26" t="s">
        <v>157</v>
      </c>
      <c r="D293" s="27" t="s">
        <v>159</v>
      </c>
      <c r="G293" s="28">
        <v>0</v>
      </c>
      <c r="H293" s="26">
        <v>4000</v>
      </c>
      <c r="I293" s="26">
        <v>14</v>
      </c>
      <c r="J293" s="36">
        <v>1</v>
      </c>
      <c r="K293" s="34">
        <v>2014</v>
      </c>
      <c r="L293" s="34">
        <v>3</v>
      </c>
      <c r="M293" s="34">
        <v>12</v>
      </c>
      <c r="N293" s="26"/>
    </row>
    <row r="294" spans="1:14">
      <c r="A294" s="26">
        <v>112205</v>
      </c>
      <c r="B294" s="27" t="s">
        <v>411</v>
      </c>
      <c r="C294" s="26" t="s">
        <v>49</v>
      </c>
      <c r="D294" s="27" t="s">
        <v>366</v>
      </c>
      <c r="G294" s="28">
        <v>620</v>
      </c>
      <c r="H294" s="26">
        <v>0</v>
      </c>
      <c r="I294" s="26">
        <v>15</v>
      </c>
      <c r="J294" s="36">
        <v>2</v>
      </c>
      <c r="K294" s="34">
        <v>2014</v>
      </c>
      <c r="L294" s="34">
        <v>3</v>
      </c>
      <c r="M294" s="34">
        <v>12</v>
      </c>
      <c r="N294" s="26"/>
    </row>
    <row r="295" spans="1:14">
      <c r="A295" s="26">
        <v>112205</v>
      </c>
      <c r="B295" s="27" t="s">
        <v>412</v>
      </c>
      <c r="C295" s="26" t="s">
        <v>49</v>
      </c>
      <c r="D295" s="27" t="s">
        <v>366</v>
      </c>
      <c r="G295" s="28">
        <v>1000</v>
      </c>
      <c r="H295" s="26">
        <v>0</v>
      </c>
      <c r="I295" s="26">
        <v>15</v>
      </c>
      <c r="J295" s="36">
        <v>2</v>
      </c>
      <c r="K295" s="34">
        <v>2014</v>
      </c>
      <c r="L295" s="34">
        <v>3</v>
      </c>
      <c r="M295" s="34">
        <v>12</v>
      </c>
      <c r="N295" s="26"/>
    </row>
    <row r="296" spans="1:14">
      <c r="A296" s="26">
        <v>500101</v>
      </c>
      <c r="B296" s="27" t="s">
        <v>412</v>
      </c>
      <c r="C296" s="26" t="s">
        <v>157</v>
      </c>
      <c r="D296" s="27" t="s">
        <v>158</v>
      </c>
      <c r="G296" s="28">
        <v>0</v>
      </c>
      <c r="H296" s="26">
        <v>854.7</v>
      </c>
      <c r="I296" s="26">
        <v>15</v>
      </c>
      <c r="J296" s="36">
        <v>2</v>
      </c>
      <c r="K296" s="34">
        <v>2014</v>
      </c>
      <c r="L296" s="34">
        <v>3</v>
      </c>
      <c r="M296" s="34">
        <v>12</v>
      </c>
      <c r="N296" s="26"/>
    </row>
    <row r="297" spans="1:14">
      <c r="A297" s="26">
        <v>500101</v>
      </c>
      <c r="B297" s="27" t="s">
        <v>411</v>
      </c>
      <c r="C297" s="26" t="s">
        <v>157</v>
      </c>
      <c r="D297" s="27" t="s">
        <v>158</v>
      </c>
      <c r="G297" s="28">
        <v>0</v>
      </c>
      <c r="H297" s="26">
        <v>529.91</v>
      </c>
      <c r="I297" s="26">
        <v>15</v>
      </c>
      <c r="J297" s="36">
        <v>2</v>
      </c>
      <c r="K297" s="34">
        <v>2014</v>
      </c>
      <c r="L297" s="34">
        <v>3</v>
      </c>
      <c r="M297" s="34">
        <v>12</v>
      </c>
      <c r="N297" s="26"/>
    </row>
    <row r="298" spans="1:14">
      <c r="A298" s="26">
        <v>222125</v>
      </c>
      <c r="B298" s="27" t="s">
        <v>411</v>
      </c>
      <c r="C298" s="26" t="s">
        <v>126</v>
      </c>
      <c r="D298" s="27" t="s">
        <v>136</v>
      </c>
      <c r="E298" s="26" t="s">
        <v>199</v>
      </c>
      <c r="F298" s="26" t="s">
        <v>199</v>
      </c>
      <c r="G298" s="28">
        <v>0</v>
      </c>
      <c r="H298" s="26">
        <v>235.39</v>
      </c>
      <c r="I298" s="26">
        <v>15</v>
      </c>
      <c r="J298" s="36">
        <v>2</v>
      </c>
      <c r="K298" s="34">
        <v>2014</v>
      </c>
      <c r="L298" s="34">
        <v>3</v>
      </c>
      <c r="M298" s="34">
        <v>12</v>
      </c>
      <c r="N298" s="26"/>
    </row>
    <row r="299" spans="1:14">
      <c r="A299" s="26">
        <v>177701</v>
      </c>
      <c r="B299" s="27" t="s">
        <v>413</v>
      </c>
      <c r="C299" s="26" t="s">
        <v>100</v>
      </c>
      <c r="D299" s="27" t="s">
        <v>199</v>
      </c>
      <c r="G299" s="28">
        <v>0</v>
      </c>
      <c r="H299" s="26">
        <v>150</v>
      </c>
      <c r="I299" s="26">
        <v>16</v>
      </c>
      <c r="J299" s="36">
        <v>1</v>
      </c>
      <c r="K299" s="34">
        <v>2014</v>
      </c>
      <c r="L299" s="34">
        <v>3</v>
      </c>
      <c r="M299" s="34">
        <v>12</v>
      </c>
      <c r="N299" s="26"/>
    </row>
    <row r="300" spans="1:14">
      <c r="A300" s="26">
        <v>560205</v>
      </c>
      <c r="B300" s="27" t="s">
        <v>413</v>
      </c>
      <c r="C300" s="26" t="s">
        <v>166</v>
      </c>
      <c r="D300" s="27" t="s">
        <v>171</v>
      </c>
      <c r="G300" s="28">
        <v>150</v>
      </c>
      <c r="H300" s="26">
        <v>0</v>
      </c>
      <c r="I300" s="26">
        <v>16</v>
      </c>
      <c r="J300" s="36">
        <v>1</v>
      </c>
      <c r="K300" s="34">
        <v>2014</v>
      </c>
      <c r="L300" s="34">
        <v>3</v>
      </c>
      <c r="M300" s="34">
        <v>12</v>
      </c>
      <c r="N300" s="26"/>
    </row>
    <row r="301" spans="1:14">
      <c r="A301" s="26">
        <v>560202</v>
      </c>
      <c r="B301" s="27" t="s">
        <v>414</v>
      </c>
      <c r="C301" s="26" t="s">
        <v>166</v>
      </c>
      <c r="D301" s="27" t="s">
        <v>168</v>
      </c>
      <c r="G301" s="28">
        <v>518</v>
      </c>
      <c r="H301" s="26">
        <v>0</v>
      </c>
      <c r="I301" s="26">
        <v>17</v>
      </c>
      <c r="J301" s="36">
        <v>1</v>
      </c>
      <c r="K301" s="34">
        <v>2014</v>
      </c>
      <c r="L301" s="34">
        <v>3</v>
      </c>
      <c r="M301" s="34">
        <v>12</v>
      </c>
      <c r="N301" s="26"/>
    </row>
    <row r="302" spans="1:14">
      <c r="A302" s="26">
        <v>160201</v>
      </c>
      <c r="B302" s="27" t="s">
        <v>414</v>
      </c>
      <c r="C302" s="26" t="s">
        <v>99</v>
      </c>
      <c r="D302" s="27" t="s">
        <v>92</v>
      </c>
      <c r="G302" s="28">
        <v>0</v>
      </c>
      <c r="H302" s="26">
        <v>89</v>
      </c>
      <c r="I302" s="26">
        <v>17</v>
      </c>
      <c r="J302" s="36">
        <v>1</v>
      </c>
      <c r="K302" s="34">
        <v>2014</v>
      </c>
      <c r="L302" s="34">
        <v>3</v>
      </c>
      <c r="M302" s="34">
        <v>12</v>
      </c>
      <c r="N302" s="26"/>
    </row>
    <row r="303" spans="1:14">
      <c r="A303" s="26">
        <v>160202</v>
      </c>
      <c r="B303" s="27" t="s">
        <v>414</v>
      </c>
      <c r="C303" s="26" t="s">
        <v>99</v>
      </c>
      <c r="D303" s="27" t="s">
        <v>93</v>
      </c>
      <c r="G303" s="28">
        <v>0</v>
      </c>
      <c r="H303" s="26">
        <v>122</v>
      </c>
      <c r="I303" s="26">
        <v>17</v>
      </c>
      <c r="J303" s="36">
        <v>1</v>
      </c>
      <c r="K303" s="34">
        <v>2014</v>
      </c>
      <c r="L303" s="34">
        <v>3</v>
      </c>
      <c r="M303" s="34">
        <v>12</v>
      </c>
      <c r="N303" s="26"/>
    </row>
    <row r="304" spans="1:14">
      <c r="A304" s="26">
        <v>160203</v>
      </c>
      <c r="B304" s="27" t="s">
        <v>414</v>
      </c>
      <c r="C304" s="26" t="s">
        <v>99</v>
      </c>
      <c r="D304" s="27" t="s">
        <v>94</v>
      </c>
      <c r="G304" s="28">
        <v>0</v>
      </c>
      <c r="H304" s="26">
        <v>107</v>
      </c>
      <c r="I304" s="26">
        <v>17</v>
      </c>
      <c r="J304" s="36">
        <v>1</v>
      </c>
      <c r="K304" s="34">
        <v>2014</v>
      </c>
      <c r="L304" s="34">
        <v>3</v>
      </c>
      <c r="M304" s="34">
        <v>12</v>
      </c>
      <c r="N304" s="26"/>
    </row>
    <row r="305" spans="1:14">
      <c r="A305" s="26">
        <v>160204</v>
      </c>
      <c r="B305" s="27" t="s">
        <v>414</v>
      </c>
      <c r="C305" s="26" t="s">
        <v>99</v>
      </c>
      <c r="D305" s="27" t="s">
        <v>95</v>
      </c>
      <c r="G305" s="28">
        <v>0</v>
      </c>
      <c r="H305" s="26">
        <v>58</v>
      </c>
      <c r="I305" s="26">
        <v>17</v>
      </c>
      <c r="J305" s="36">
        <v>1</v>
      </c>
      <c r="K305" s="34">
        <v>2014</v>
      </c>
      <c r="L305" s="34">
        <v>3</v>
      </c>
      <c r="M305" s="34">
        <v>12</v>
      </c>
      <c r="N305" s="26"/>
    </row>
    <row r="306" spans="1:14">
      <c r="A306" s="26">
        <v>160205</v>
      </c>
      <c r="B306" s="27" t="s">
        <v>414</v>
      </c>
      <c r="C306" s="26" t="s">
        <v>99</v>
      </c>
      <c r="D306" s="27" t="s">
        <v>96</v>
      </c>
      <c r="G306" s="28">
        <v>0</v>
      </c>
      <c r="H306" s="26">
        <v>69</v>
      </c>
      <c r="I306" s="26">
        <v>17</v>
      </c>
      <c r="J306" s="36">
        <v>1</v>
      </c>
      <c r="K306" s="34">
        <v>2014</v>
      </c>
      <c r="L306" s="34">
        <v>3</v>
      </c>
      <c r="M306" s="34">
        <v>12</v>
      </c>
      <c r="N306" s="26"/>
    </row>
    <row r="307" spans="1:14">
      <c r="A307" s="26">
        <v>160206</v>
      </c>
      <c r="B307" s="27" t="s">
        <v>414</v>
      </c>
      <c r="C307" s="26" t="s">
        <v>99</v>
      </c>
      <c r="D307" s="27" t="s">
        <v>97</v>
      </c>
      <c r="G307" s="28">
        <v>0</v>
      </c>
      <c r="H307" s="26">
        <v>73</v>
      </c>
      <c r="I307" s="26">
        <v>17</v>
      </c>
      <c r="J307" s="36">
        <v>1</v>
      </c>
      <c r="K307" s="34">
        <v>2014</v>
      </c>
      <c r="L307" s="34">
        <v>3</v>
      </c>
      <c r="M307" s="34">
        <v>12</v>
      </c>
      <c r="N307" s="26"/>
    </row>
    <row r="308" spans="1:14">
      <c r="A308" s="26">
        <v>100101</v>
      </c>
      <c r="B308" s="27" t="s">
        <v>415</v>
      </c>
      <c r="C308" s="26" t="s">
        <v>46</v>
      </c>
      <c r="D308" s="27" t="s">
        <v>199</v>
      </c>
      <c r="G308" s="28">
        <v>65.5</v>
      </c>
      <c r="H308" s="26">
        <v>0</v>
      </c>
      <c r="I308" s="26">
        <v>18</v>
      </c>
      <c r="J308" s="36">
        <v>2</v>
      </c>
      <c r="K308" s="34">
        <v>2014</v>
      </c>
      <c r="L308" s="34">
        <v>3</v>
      </c>
      <c r="M308" s="34">
        <v>17</v>
      </c>
      <c r="N308" s="26"/>
    </row>
    <row r="309" spans="1:14">
      <c r="A309" s="26">
        <v>100201</v>
      </c>
      <c r="B309" s="27" t="s">
        <v>416</v>
      </c>
      <c r="C309" s="26" t="s">
        <v>47</v>
      </c>
      <c r="D309" s="27" t="s">
        <v>48</v>
      </c>
      <c r="G309" s="28">
        <v>0</v>
      </c>
      <c r="H309" s="26">
        <v>60</v>
      </c>
      <c r="I309" s="26">
        <v>18</v>
      </c>
      <c r="J309" s="36">
        <v>2</v>
      </c>
      <c r="K309" s="34">
        <v>2014</v>
      </c>
      <c r="L309" s="34">
        <v>3</v>
      </c>
      <c r="M309" s="34">
        <v>17</v>
      </c>
      <c r="N309" s="26"/>
    </row>
    <row r="310" spans="1:14">
      <c r="A310" s="26">
        <v>100201</v>
      </c>
      <c r="B310" s="27" t="s">
        <v>417</v>
      </c>
      <c r="C310" s="26" t="s">
        <v>47</v>
      </c>
      <c r="D310" s="27" t="s">
        <v>48</v>
      </c>
      <c r="G310" s="28">
        <v>0</v>
      </c>
      <c r="H310" s="26">
        <v>5.5</v>
      </c>
      <c r="I310" s="26">
        <v>18</v>
      </c>
      <c r="J310" s="36">
        <v>2</v>
      </c>
      <c r="K310" s="34">
        <v>2014</v>
      </c>
      <c r="L310" s="34">
        <v>3</v>
      </c>
      <c r="M310" s="34">
        <v>17</v>
      </c>
      <c r="N310" s="26"/>
    </row>
    <row r="311" spans="1:14">
      <c r="A311" s="26">
        <v>220302</v>
      </c>
      <c r="B311" s="27" t="s">
        <v>418</v>
      </c>
      <c r="C311" s="26" t="s">
        <v>107</v>
      </c>
      <c r="D311" s="27" t="s">
        <v>108</v>
      </c>
      <c r="G311" s="28">
        <v>0</v>
      </c>
      <c r="H311" s="26">
        <v>29400</v>
      </c>
      <c r="I311" s="26">
        <v>19</v>
      </c>
      <c r="J311" s="36">
        <v>1</v>
      </c>
      <c r="K311" s="34">
        <v>2014</v>
      </c>
      <c r="L311" s="34">
        <v>3</v>
      </c>
      <c r="M311" s="34">
        <v>17</v>
      </c>
      <c r="N311" s="26"/>
    </row>
    <row r="312" spans="1:14">
      <c r="A312" s="26">
        <v>100201</v>
      </c>
      <c r="B312" s="27" t="s">
        <v>418</v>
      </c>
      <c r="C312" s="26" t="s">
        <v>47</v>
      </c>
      <c r="D312" s="27" t="s">
        <v>48</v>
      </c>
      <c r="G312" s="28">
        <v>29400</v>
      </c>
      <c r="H312" s="26">
        <v>0</v>
      </c>
      <c r="I312" s="26">
        <v>19</v>
      </c>
      <c r="J312" s="36">
        <v>1</v>
      </c>
      <c r="K312" s="34">
        <v>2014</v>
      </c>
      <c r="L312" s="34">
        <v>3</v>
      </c>
      <c r="M312" s="34">
        <v>17</v>
      </c>
      <c r="N312" s="26"/>
    </row>
    <row r="313" spans="1:14">
      <c r="A313" s="26">
        <v>560301</v>
      </c>
      <c r="B313" s="27" t="s">
        <v>178</v>
      </c>
      <c r="C313" s="26" t="s">
        <v>177</v>
      </c>
      <c r="D313" s="27" t="s">
        <v>199</v>
      </c>
      <c r="G313" s="28">
        <v>11</v>
      </c>
      <c r="H313" s="26">
        <v>0</v>
      </c>
      <c r="I313" s="26">
        <v>20</v>
      </c>
      <c r="J313" s="36">
        <v>2</v>
      </c>
      <c r="K313" s="34">
        <v>2014</v>
      </c>
      <c r="L313" s="34">
        <v>3</v>
      </c>
      <c r="M313" s="34">
        <v>17</v>
      </c>
      <c r="N313" s="26"/>
    </row>
    <row r="314" spans="1:14">
      <c r="A314" s="26">
        <v>100201</v>
      </c>
      <c r="B314" s="27" t="s">
        <v>419</v>
      </c>
      <c r="C314" s="26" t="s">
        <v>47</v>
      </c>
      <c r="D314" s="27" t="s">
        <v>48</v>
      </c>
      <c r="G314" s="28">
        <v>0</v>
      </c>
      <c r="H314" s="26">
        <v>5.5</v>
      </c>
      <c r="I314" s="26">
        <v>20</v>
      </c>
      <c r="J314" s="36">
        <v>2</v>
      </c>
      <c r="K314" s="34">
        <v>2014</v>
      </c>
      <c r="L314" s="34">
        <v>3</v>
      </c>
      <c r="M314" s="34">
        <v>17</v>
      </c>
      <c r="N314" s="26"/>
    </row>
    <row r="315" spans="1:14">
      <c r="A315" s="26">
        <v>100201</v>
      </c>
      <c r="B315" s="27" t="s">
        <v>420</v>
      </c>
      <c r="C315" s="26" t="s">
        <v>47</v>
      </c>
      <c r="D315" s="27" t="s">
        <v>48</v>
      </c>
      <c r="G315" s="28">
        <v>0</v>
      </c>
      <c r="H315" s="26">
        <v>5.5</v>
      </c>
      <c r="I315" s="26">
        <v>20</v>
      </c>
      <c r="J315" s="36">
        <v>2</v>
      </c>
      <c r="K315" s="34">
        <v>2014</v>
      </c>
      <c r="L315" s="34">
        <v>3</v>
      </c>
      <c r="M315" s="34">
        <v>17</v>
      </c>
      <c r="N315" s="26"/>
    </row>
    <row r="316" spans="1:14">
      <c r="A316" s="26">
        <v>112312</v>
      </c>
      <c r="B316" s="27" t="s">
        <v>421</v>
      </c>
      <c r="C316" s="26" t="s">
        <v>64</v>
      </c>
      <c r="D316" s="27" t="s">
        <v>71</v>
      </c>
      <c r="G316" s="28">
        <v>8000</v>
      </c>
      <c r="H316" s="26">
        <v>0</v>
      </c>
      <c r="I316" s="26">
        <v>21</v>
      </c>
      <c r="J316" s="36">
        <v>2</v>
      </c>
      <c r="K316" s="34">
        <v>2014</v>
      </c>
      <c r="L316" s="34">
        <v>3</v>
      </c>
      <c r="M316" s="34">
        <v>20</v>
      </c>
      <c r="N316" s="26"/>
    </row>
    <row r="317" spans="1:14">
      <c r="A317" s="26">
        <v>100101</v>
      </c>
      <c r="B317" s="27" t="s">
        <v>246</v>
      </c>
      <c r="C317" s="26" t="s">
        <v>46</v>
      </c>
      <c r="D317" s="27" t="s">
        <v>199</v>
      </c>
      <c r="G317" s="28">
        <v>2000</v>
      </c>
      <c r="H317" s="26">
        <v>0</v>
      </c>
      <c r="I317" s="26">
        <v>21</v>
      </c>
      <c r="J317" s="36">
        <v>2</v>
      </c>
      <c r="K317" s="34">
        <v>2014</v>
      </c>
      <c r="L317" s="34">
        <v>3</v>
      </c>
      <c r="M317" s="34">
        <v>20</v>
      </c>
      <c r="N317" s="26"/>
    </row>
    <row r="318" spans="1:14">
      <c r="A318" s="26">
        <v>100201</v>
      </c>
      <c r="B318" s="27" t="s">
        <v>422</v>
      </c>
      <c r="C318" s="26" t="s">
        <v>47</v>
      </c>
      <c r="D318" s="27" t="s">
        <v>48</v>
      </c>
      <c r="G318" s="28">
        <v>0</v>
      </c>
      <c r="H318" s="26">
        <v>10000</v>
      </c>
      <c r="I318" s="26">
        <v>21</v>
      </c>
      <c r="J318" s="36">
        <v>2</v>
      </c>
      <c r="K318" s="34">
        <v>2014</v>
      </c>
      <c r="L318" s="34">
        <v>3</v>
      </c>
      <c r="M318" s="34">
        <v>20</v>
      </c>
      <c r="N318" s="26"/>
    </row>
    <row r="319" spans="1:14">
      <c r="A319" s="26">
        <v>140501</v>
      </c>
      <c r="B319" s="27" t="s">
        <v>423</v>
      </c>
      <c r="C319" s="26" t="s">
        <v>89</v>
      </c>
      <c r="D319" s="27" t="s">
        <v>199</v>
      </c>
      <c r="G319" s="28">
        <v>187</v>
      </c>
      <c r="H319" s="26">
        <v>0</v>
      </c>
      <c r="I319" s="26">
        <v>22</v>
      </c>
      <c r="J319" s="36">
        <v>1</v>
      </c>
      <c r="K319" s="34">
        <v>2014</v>
      </c>
      <c r="L319" s="34">
        <v>3</v>
      </c>
      <c r="M319" s="34">
        <v>20</v>
      </c>
      <c r="N319" s="26"/>
    </row>
    <row r="320" spans="1:14">
      <c r="A320" s="26">
        <v>100101</v>
      </c>
      <c r="B320" s="27" t="s">
        <v>424</v>
      </c>
      <c r="C320" s="26" t="s">
        <v>46</v>
      </c>
      <c r="D320" s="27" t="s">
        <v>199</v>
      </c>
      <c r="G320" s="28">
        <v>0</v>
      </c>
      <c r="H320" s="26">
        <v>187</v>
      </c>
      <c r="I320" s="26">
        <v>22</v>
      </c>
      <c r="J320" s="36">
        <v>1</v>
      </c>
      <c r="K320" s="34">
        <v>2014</v>
      </c>
      <c r="L320" s="34">
        <v>3</v>
      </c>
      <c r="M320" s="34">
        <v>20</v>
      </c>
      <c r="N320" s="26"/>
    </row>
    <row r="321" spans="1:14">
      <c r="A321" s="26">
        <v>221103</v>
      </c>
      <c r="B321" s="27" t="s">
        <v>425</v>
      </c>
      <c r="C321" s="26" t="s">
        <v>113</v>
      </c>
      <c r="D321" s="27" t="s">
        <v>116</v>
      </c>
      <c r="G321" s="28">
        <v>825.9</v>
      </c>
      <c r="H321" s="26">
        <v>0</v>
      </c>
      <c r="I321" s="26">
        <v>23</v>
      </c>
      <c r="J321" s="36">
        <v>7</v>
      </c>
      <c r="K321" s="34">
        <v>2014</v>
      </c>
      <c r="L321" s="34">
        <v>3</v>
      </c>
      <c r="M321" s="34">
        <v>20</v>
      </c>
      <c r="N321" s="26"/>
    </row>
    <row r="322" spans="1:14">
      <c r="A322" s="26">
        <v>560203</v>
      </c>
      <c r="B322" s="27" t="s">
        <v>426</v>
      </c>
      <c r="C322" s="26" t="s">
        <v>166</v>
      </c>
      <c r="D322" s="27" t="s">
        <v>169</v>
      </c>
      <c r="G322" s="28">
        <v>150</v>
      </c>
      <c r="H322" s="26">
        <v>0</v>
      </c>
      <c r="I322" s="26">
        <v>23</v>
      </c>
      <c r="J322" s="36">
        <v>7</v>
      </c>
      <c r="K322" s="34">
        <v>2014</v>
      </c>
      <c r="L322" s="34">
        <v>3</v>
      </c>
      <c r="M322" s="34">
        <v>20</v>
      </c>
      <c r="N322" s="26"/>
    </row>
    <row r="323" spans="1:14">
      <c r="A323" s="26">
        <v>560206</v>
      </c>
      <c r="B323" s="27" t="s">
        <v>427</v>
      </c>
      <c r="C323" s="26" t="s">
        <v>166</v>
      </c>
      <c r="D323" s="27" t="s">
        <v>172</v>
      </c>
      <c r="G323" s="28">
        <v>400</v>
      </c>
      <c r="H323" s="26">
        <v>0</v>
      </c>
      <c r="I323" s="26">
        <v>23</v>
      </c>
      <c r="J323" s="36">
        <v>7</v>
      </c>
      <c r="K323" s="34">
        <v>2014</v>
      </c>
      <c r="L323" s="34">
        <v>3</v>
      </c>
      <c r="M323" s="34">
        <v>20</v>
      </c>
      <c r="N323" s="26"/>
    </row>
    <row r="324" spans="1:14">
      <c r="A324" s="26">
        <v>100101</v>
      </c>
      <c r="B324" s="27" t="s">
        <v>428</v>
      </c>
      <c r="C324" s="26" t="s">
        <v>46</v>
      </c>
      <c r="D324" s="27" t="s">
        <v>199</v>
      </c>
      <c r="G324" s="28">
        <v>0</v>
      </c>
      <c r="H324" s="26">
        <v>1375.9</v>
      </c>
      <c r="I324" s="26">
        <v>23</v>
      </c>
      <c r="J324" s="36">
        <v>7</v>
      </c>
      <c r="K324" s="34">
        <v>2014</v>
      </c>
      <c r="L324" s="34">
        <v>3</v>
      </c>
      <c r="M324" s="34">
        <v>20</v>
      </c>
      <c r="N324" s="26"/>
    </row>
    <row r="325" spans="1:14">
      <c r="A325" s="26">
        <v>500101</v>
      </c>
      <c r="B325" s="27" t="s">
        <v>429</v>
      </c>
      <c r="C325" s="26" t="s">
        <v>157</v>
      </c>
      <c r="D325" s="27" t="s">
        <v>158</v>
      </c>
      <c r="G325" s="28">
        <v>0</v>
      </c>
      <c r="H325" s="26">
        <v>3411.96</v>
      </c>
      <c r="I325" s="26">
        <v>24</v>
      </c>
      <c r="J325" s="36">
        <v>1</v>
      </c>
      <c r="K325" s="34">
        <v>2014</v>
      </c>
      <c r="L325" s="34">
        <v>3</v>
      </c>
      <c r="M325" s="34">
        <v>20</v>
      </c>
      <c r="N325" s="26"/>
    </row>
    <row r="326" spans="1:14">
      <c r="A326" s="26">
        <v>222125</v>
      </c>
      <c r="B326" s="27" t="s">
        <v>366</v>
      </c>
      <c r="C326" s="26" t="s">
        <v>126</v>
      </c>
      <c r="D326" s="27" t="s">
        <v>136</v>
      </c>
      <c r="G326" s="28">
        <v>0</v>
      </c>
      <c r="H326" s="26">
        <v>580.04</v>
      </c>
      <c r="I326" s="26">
        <v>24</v>
      </c>
      <c r="J326" s="36">
        <v>1</v>
      </c>
      <c r="K326" s="34">
        <v>2014</v>
      </c>
      <c r="L326" s="34">
        <v>3</v>
      </c>
      <c r="M326" s="34">
        <v>20</v>
      </c>
      <c r="N326" s="26"/>
    </row>
    <row r="327" spans="1:14">
      <c r="A327" s="26">
        <v>112205</v>
      </c>
      <c r="B327" s="27" t="s">
        <v>429</v>
      </c>
      <c r="C327" s="26" t="s">
        <v>49</v>
      </c>
      <c r="D327" s="27" t="s">
        <v>366</v>
      </c>
      <c r="G327" s="28">
        <v>3992</v>
      </c>
      <c r="H327" s="26">
        <v>0</v>
      </c>
      <c r="I327" s="26">
        <v>24</v>
      </c>
      <c r="J327" s="36">
        <v>1</v>
      </c>
      <c r="K327" s="34">
        <v>2014</v>
      </c>
      <c r="L327" s="34">
        <v>3</v>
      </c>
      <c r="M327" s="34">
        <v>20</v>
      </c>
      <c r="N327" s="26"/>
    </row>
    <row r="328" spans="1:14">
      <c r="A328" s="26">
        <v>500102</v>
      </c>
      <c r="B328" s="27" t="s">
        <v>430</v>
      </c>
      <c r="C328" s="26" t="s">
        <v>157</v>
      </c>
      <c r="D328" s="27" t="s">
        <v>159</v>
      </c>
      <c r="G328" s="28">
        <v>0</v>
      </c>
      <c r="H328" s="26">
        <v>4000</v>
      </c>
      <c r="I328" s="26">
        <v>25</v>
      </c>
      <c r="J328" s="36">
        <v>1</v>
      </c>
      <c r="K328" s="34">
        <v>2014</v>
      </c>
      <c r="L328" s="34">
        <v>3</v>
      </c>
      <c r="M328" s="34">
        <v>20</v>
      </c>
      <c r="N328" s="26"/>
    </row>
    <row r="329" spans="1:14">
      <c r="A329" s="26">
        <v>112204</v>
      </c>
      <c r="B329" s="27" t="s">
        <v>430</v>
      </c>
      <c r="C329" s="26" t="s">
        <v>49</v>
      </c>
      <c r="D329" s="27" t="s">
        <v>255</v>
      </c>
      <c r="G329" s="28">
        <v>4000</v>
      </c>
      <c r="H329" s="26">
        <v>0</v>
      </c>
      <c r="I329" s="26">
        <v>25</v>
      </c>
      <c r="J329" s="36">
        <v>1</v>
      </c>
      <c r="K329" s="34">
        <v>2014</v>
      </c>
      <c r="L329" s="34">
        <v>3</v>
      </c>
      <c r="M329" s="34">
        <v>20</v>
      </c>
      <c r="N329" s="26"/>
    </row>
    <row r="330" spans="1:14">
      <c r="A330" s="26">
        <v>100201</v>
      </c>
      <c r="B330" s="27" t="s">
        <v>431</v>
      </c>
      <c r="C330" s="26" t="s">
        <v>47</v>
      </c>
      <c r="D330" s="27" t="s">
        <v>48</v>
      </c>
      <c r="G330" s="28">
        <v>4620</v>
      </c>
      <c r="H330" s="26">
        <v>0</v>
      </c>
      <c r="I330" s="26">
        <v>26</v>
      </c>
      <c r="J330" s="36">
        <v>1</v>
      </c>
      <c r="K330" s="34">
        <v>2014</v>
      </c>
      <c r="L330" s="34">
        <v>3</v>
      </c>
      <c r="M330" s="34">
        <v>20</v>
      </c>
      <c r="N330" s="26"/>
    </row>
    <row r="331" spans="1:14">
      <c r="A331" s="26">
        <v>112204</v>
      </c>
      <c r="B331" s="27" t="s">
        <v>432</v>
      </c>
      <c r="C331" s="26" t="s">
        <v>49</v>
      </c>
      <c r="D331" s="27" t="s">
        <v>255</v>
      </c>
      <c r="G331" s="28">
        <v>0</v>
      </c>
      <c r="H331" s="26">
        <v>4000</v>
      </c>
      <c r="I331" s="26">
        <v>26</v>
      </c>
      <c r="J331" s="36">
        <v>1</v>
      </c>
      <c r="K331" s="34">
        <v>2014</v>
      </c>
      <c r="L331" s="34">
        <v>3</v>
      </c>
      <c r="M331" s="34">
        <v>20</v>
      </c>
      <c r="N331" s="26"/>
    </row>
    <row r="332" spans="1:14">
      <c r="A332" s="26">
        <v>112205</v>
      </c>
      <c r="B332" s="27" t="s">
        <v>433</v>
      </c>
      <c r="C332" s="26" t="s">
        <v>49</v>
      </c>
      <c r="D332" s="27" t="s">
        <v>366</v>
      </c>
      <c r="G332" s="28">
        <v>0</v>
      </c>
      <c r="H332" s="26">
        <v>620</v>
      </c>
      <c r="I332" s="26">
        <v>26</v>
      </c>
      <c r="J332" s="36">
        <v>1</v>
      </c>
      <c r="K332" s="34">
        <v>2014</v>
      </c>
      <c r="L332" s="34">
        <v>3</v>
      </c>
      <c r="M332" s="34">
        <v>20</v>
      </c>
      <c r="N332" s="26"/>
    </row>
    <row r="333" spans="1:14">
      <c r="A333" s="26">
        <v>500102</v>
      </c>
      <c r="B333" s="27" t="s">
        <v>434</v>
      </c>
      <c r="C333" s="26" t="s">
        <v>157</v>
      </c>
      <c r="D333" s="27" t="s">
        <v>159</v>
      </c>
      <c r="G333" s="28">
        <v>0</v>
      </c>
      <c r="H333" s="26">
        <v>4000</v>
      </c>
      <c r="I333" s="26">
        <v>27</v>
      </c>
      <c r="J333" s="36">
        <v>1</v>
      </c>
      <c r="K333" s="34">
        <v>2014</v>
      </c>
      <c r="L333" s="34">
        <v>3</v>
      </c>
      <c r="M333" s="34">
        <v>20</v>
      </c>
      <c r="N333" s="26"/>
    </row>
    <row r="334" spans="1:14">
      <c r="A334" s="26">
        <v>112204</v>
      </c>
      <c r="B334" s="27" t="s">
        <v>434</v>
      </c>
      <c r="C334" s="26" t="s">
        <v>49</v>
      </c>
      <c r="D334" s="27" t="s">
        <v>255</v>
      </c>
      <c r="G334" s="28">
        <v>4000</v>
      </c>
      <c r="H334" s="26">
        <v>0</v>
      </c>
      <c r="I334" s="26">
        <v>27</v>
      </c>
      <c r="J334" s="36">
        <v>1</v>
      </c>
      <c r="K334" s="34">
        <v>2014</v>
      </c>
      <c r="L334" s="34">
        <v>3</v>
      </c>
      <c r="M334" s="34">
        <v>20</v>
      </c>
      <c r="N334" s="26"/>
    </row>
    <row r="335" spans="1:14">
      <c r="A335" s="26">
        <v>221103</v>
      </c>
      <c r="B335" s="27" t="s">
        <v>435</v>
      </c>
      <c r="C335" s="26" t="s">
        <v>113</v>
      </c>
      <c r="D335" s="27" t="s">
        <v>116</v>
      </c>
      <c r="G335" s="28">
        <v>1300</v>
      </c>
      <c r="H335" s="26">
        <v>0</v>
      </c>
      <c r="I335" s="26">
        <v>28</v>
      </c>
      <c r="J335" s="36">
        <v>1</v>
      </c>
      <c r="K335" s="34">
        <v>2014</v>
      </c>
      <c r="L335" s="34">
        <v>3</v>
      </c>
      <c r="M335" s="34">
        <v>20</v>
      </c>
      <c r="N335" s="26"/>
    </row>
    <row r="336" spans="1:14">
      <c r="A336" s="26">
        <v>100201</v>
      </c>
      <c r="B336" s="27" t="s">
        <v>436</v>
      </c>
      <c r="C336" s="26" t="s">
        <v>47</v>
      </c>
      <c r="D336" s="27" t="s">
        <v>48</v>
      </c>
      <c r="G336" s="28">
        <v>0</v>
      </c>
      <c r="H336" s="26">
        <v>1300</v>
      </c>
      <c r="I336" s="26">
        <v>28</v>
      </c>
      <c r="J336" s="36">
        <v>1</v>
      </c>
      <c r="K336" s="34">
        <v>2014</v>
      </c>
      <c r="L336" s="34">
        <v>3</v>
      </c>
      <c r="M336" s="34">
        <v>20</v>
      </c>
      <c r="N336" s="26"/>
    </row>
    <row r="337" spans="1:14">
      <c r="A337" s="26">
        <v>540101</v>
      </c>
      <c r="B337" s="27" t="s">
        <v>437</v>
      </c>
      <c r="C337" s="26" t="s">
        <v>161</v>
      </c>
      <c r="D337" s="27" t="s">
        <v>162</v>
      </c>
      <c r="G337" s="28">
        <v>200</v>
      </c>
      <c r="H337" s="26">
        <v>0</v>
      </c>
      <c r="I337" s="26">
        <v>29</v>
      </c>
      <c r="J337" s="36">
        <v>2</v>
      </c>
      <c r="K337" s="34">
        <v>2014</v>
      </c>
      <c r="L337" s="34">
        <v>3</v>
      </c>
      <c r="M337" s="34">
        <v>31</v>
      </c>
      <c r="N337" s="26"/>
    </row>
    <row r="338" spans="1:14">
      <c r="A338" s="26">
        <v>100101</v>
      </c>
      <c r="B338" s="27" t="s">
        <v>438</v>
      </c>
      <c r="C338" s="26" t="s">
        <v>46</v>
      </c>
      <c r="D338" s="27" t="s">
        <v>199</v>
      </c>
      <c r="G338" s="28">
        <v>0</v>
      </c>
      <c r="H338" s="26">
        <v>200</v>
      </c>
      <c r="I338" s="26">
        <v>29</v>
      </c>
      <c r="J338" s="36">
        <v>2</v>
      </c>
      <c r="K338" s="34">
        <v>2014</v>
      </c>
      <c r="L338" s="34">
        <v>3</v>
      </c>
      <c r="M338" s="34">
        <v>31</v>
      </c>
      <c r="N338" s="26"/>
    </row>
    <row r="339" spans="1:14">
      <c r="A339" s="26">
        <v>100201</v>
      </c>
      <c r="B339" s="27" t="s">
        <v>439</v>
      </c>
      <c r="C339" s="26" t="s">
        <v>47</v>
      </c>
      <c r="D339" s="27" t="s">
        <v>48</v>
      </c>
      <c r="G339" s="28">
        <v>0</v>
      </c>
      <c r="H339" s="26">
        <v>90</v>
      </c>
      <c r="I339" s="26">
        <v>30</v>
      </c>
      <c r="J339" s="36">
        <v>3</v>
      </c>
      <c r="K339" s="34">
        <v>2014</v>
      </c>
      <c r="L339" s="34">
        <v>3</v>
      </c>
      <c r="M339" s="34">
        <v>31</v>
      </c>
      <c r="N339" s="26"/>
    </row>
    <row r="340" spans="1:14">
      <c r="A340" s="26">
        <v>100201</v>
      </c>
      <c r="B340" s="27" t="s">
        <v>440</v>
      </c>
      <c r="C340" s="26" t="s">
        <v>47</v>
      </c>
      <c r="D340" s="27" t="s">
        <v>48</v>
      </c>
      <c r="G340" s="28">
        <v>81.1</v>
      </c>
      <c r="H340" s="26">
        <v>0</v>
      </c>
      <c r="I340" s="26">
        <v>30</v>
      </c>
      <c r="J340" s="36">
        <v>3</v>
      </c>
      <c r="K340" s="34">
        <v>2014</v>
      </c>
      <c r="L340" s="34">
        <v>3</v>
      </c>
      <c r="M340" s="34">
        <v>31</v>
      </c>
      <c r="N340" s="26"/>
    </row>
    <row r="341" spans="1:14">
      <c r="A341" s="26">
        <v>100201</v>
      </c>
      <c r="B341" s="27" t="s">
        <v>441</v>
      </c>
      <c r="C341" s="26" t="s">
        <v>47</v>
      </c>
      <c r="D341" s="27" t="s">
        <v>48</v>
      </c>
      <c r="G341" s="28">
        <v>0</v>
      </c>
      <c r="H341" s="26">
        <v>5.5</v>
      </c>
      <c r="I341" s="26">
        <v>30</v>
      </c>
      <c r="J341" s="36">
        <v>3</v>
      </c>
      <c r="K341" s="34">
        <v>2014</v>
      </c>
      <c r="L341" s="34">
        <v>3</v>
      </c>
      <c r="M341" s="34">
        <v>31</v>
      </c>
      <c r="N341" s="26"/>
    </row>
    <row r="342" spans="1:14">
      <c r="A342" s="26">
        <v>560301</v>
      </c>
      <c r="B342" s="27" t="s">
        <v>442</v>
      </c>
      <c r="C342" s="26" t="s">
        <v>177</v>
      </c>
      <c r="D342" s="27" t="s">
        <v>199</v>
      </c>
      <c r="G342" s="28">
        <v>14.4</v>
      </c>
      <c r="H342" s="26">
        <v>0</v>
      </c>
      <c r="I342" s="26">
        <v>30</v>
      </c>
      <c r="J342" s="36">
        <v>3</v>
      </c>
      <c r="K342" s="34">
        <v>2014</v>
      </c>
      <c r="L342" s="34">
        <v>3</v>
      </c>
      <c r="M342" s="34">
        <v>31</v>
      </c>
      <c r="N342" s="26"/>
    </row>
    <row r="343" spans="1:14">
      <c r="A343" s="26">
        <v>560206</v>
      </c>
      <c r="B343" s="27" t="s">
        <v>443</v>
      </c>
      <c r="C343" s="26" t="s">
        <v>166</v>
      </c>
      <c r="D343" s="27" t="s">
        <v>172</v>
      </c>
      <c r="G343" s="28">
        <v>36</v>
      </c>
      <c r="H343" s="26">
        <v>0</v>
      </c>
      <c r="I343" s="26">
        <v>31</v>
      </c>
      <c r="J343" s="36">
        <v>2</v>
      </c>
      <c r="K343" s="34">
        <v>2014</v>
      </c>
      <c r="L343" s="34">
        <v>3</v>
      </c>
      <c r="M343" s="34">
        <v>31</v>
      </c>
      <c r="N343" s="26"/>
    </row>
    <row r="344" spans="1:14">
      <c r="A344" s="26">
        <v>221103</v>
      </c>
      <c r="B344" s="27" t="s">
        <v>444</v>
      </c>
      <c r="C344" s="26" t="s">
        <v>113</v>
      </c>
      <c r="D344" s="27" t="s">
        <v>116</v>
      </c>
      <c r="G344" s="28">
        <v>52</v>
      </c>
      <c r="H344" s="26">
        <v>0</v>
      </c>
      <c r="I344" s="26">
        <v>31</v>
      </c>
      <c r="J344" s="36">
        <v>2</v>
      </c>
      <c r="K344" s="34">
        <v>2014</v>
      </c>
      <c r="L344" s="34">
        <v>3</v>
      </c>
      <c r="M344" s="34">
        <v>31</v>
      </c>
      <c r="N344" s="26"/>
    </row>
    <row r="345" spans="1:14">
      <c r="A345" s="26">
        <v>224104</v>
      </c>
      <c r="B345" s="27" t="s">
        <v>445</v>
      </c>
      <c r="C345" s="26" t="s">
        <v>140</v>
      </c>
      <c r="D345" s="27" t="s">
        <v>142</v>
      </c>
      <c r="G345" s="28">
        <v>1.61</v>
      </c>
      <c r="H345" s="26">
        <v>0</v>
      </c>
      <c r="I345" s="26">
        <v>31</v>
      </c>
      <c r="J345" s="36">
        <v>2</v>
      </c>
      <c r="K345" s="34">
        <v>2014</v>
      </c>
      <c r="L345" s="34">
        <v>3</v>
      </c>
      <c r="M345" s="34">
        <v>31</v>
      </c>
      <c r="N345" s="26"/>
    </row>
    <row r="346" spans="1:14">
      <c r="A346" s="26">
        <v>100201</v>
      </c>
      <c r="B346" s="27" t="s">
        <v>446</v>
      </c>
      <c r="C346" s="26" t="s">
        <v>47</v>
      </c>
      <c r="D346" s="27" t="s">
        <v>48</v>
      </c>
      <c r="G346" s="28">
        <v>0</v>
      </c>
      <c r="H346" s="26">
        <v>89.61</v>
      </c>
      <c r="I346" s="26">
        <v>31</v>
      </c>
      <c r="J346" s="36">
        <v>2</v>
      </c>
      <c r="K346" s="34">
        <v>2014</v>
      </c>
      <c r="L346" s="34">
        <v>3</v>
      </c>
      <c r="M346" s="34">
        <v>31</v>
      </c>
      <c r="N346" s="26"/>
    </row>
    <row r="347" spans="1:14">
      <c r="A347" s="26">
        <v>122104</v>
      </c>
      <c r="B347" s="27" t="s">
        <v>447</v>
      </c>
      <c r="C347" s="26" t="s">
        <v>78</v>
      </c>
      <c r="D347" s="27" t="s">
        <v>82</v>
      </c>
      <c r="G347" s="28">
        <v>8000</v>
      </c>
      <c r="H347" s="26">
        <v>0</v>
      </c>
      <c r="I347" s="26">
        <v>32</v>
      </c>
      <c r="J347" s="36">
        <v>1</v>
      </c>
      <c r="K347" s="34">
        <v>2014</v>
      </c>
      <c r="L347" s="34">
        <v>3</v>
      </c>
      <c r="M347" s="34">
        <v>31</v>
      </c>
      <c r="N347" s="26"/>
    </row>
    <row r="348" spans="1:14">
      <c r="A348" s="26">
        <v>100201</v>
      </c>
      <c r="B348" s="27" t="s">
        <v>448</v>
      </c>
      <c r="C348" s="26" t="s">
        <v>47</v>
      </c>
      <c r="D348" s="27" t="s">
        <v>48</v>
      </c>
      <c r="G348" s="28">
        <v>0</v>
      </c>
      <c r="H348" s="26">
        <v>8000</v>
      </c>
      <c r="I348" s="26">
        <v>32</v>
      </c>
      <c r="J348" s="36">
        <v>1</v>
      </c>
      <c r="K348" s="34">
        <v>2014</v>
      </c>
      <c r="L348" s="34">
        <v>3</v>
      </c>
      <c r="M348" s="34">
        <v>31</v>
      </c>
      <c r="N348" s="26"/>
    </row>
    <row r="349" spans="1:14">
      <c r="A349" s="26">
        <v>122105</v>
      </c>
      <c r="B349" s="27" t="s">
        <v>449</v>
      </c>
      <c r="C349" s="26" t="s">
        <v>78</v>
      </c>
      <c r="D349" s="27" t="s">
        <v>83</v>
      </c>
      <c r="G349" s="28">
        <v>4800</v>
      </c>
      <c r="H349" s="26">
        <v>0</v>
      </c>
      <c r="I349" s="26">
        <v>33</v>
      </c>
      <c r="J349" s="36">
        <v>1</v>
      </c>
      <c r="K349" s="34">
        <v>2014</v>
      </c>
      <c r="L349" s="34">
        <v>3</v>
      </c>
      <c r="M349" s="34">
        <v>31</v>
      </c>
      <c r="N349" s="26"/>
    </row>
    <row r="350" spans="1:14">
      <c r="A350" s="26">
        <v>100201</v>
      </c>
      <c r="B350" s="27" t="s">
        <v>450</v>
      </c>
      <c r="C350" s="26" t="s">
        <v>47</v>
      </c>
      <c r="D350" s="27" t="s">
        <v>48</v>
      </c>
      <c r="G350" s="28">
        <v>0</v>
      </c>
      <c r="H350" s="26">
        <v>4800</v>
      </c>
      <c r="I350" s="26">
        <v>33</v>
      </c>
      <c r="J350" s="36">
        <v>1</v>
      </c>
      <c r="K350" s="34">
        <v>2014</v>
      </c>
      <c r="L350" s="34">
        <v>3</v>
      </c>
      <c r="M350" s="34">
        <v>31</v>
      </c>
      <c r="N350" s="26"/>
    </row>
    <row r="351" spans="1:14">
      <c r="A351" s="26">
        <v>100201</v>
      </c>
      <c r="B351" s="27" t="s">
        <v>451</v>
      </c>
      <c r="C351" s="26" t="s">
        <v>47</v>
      </c>
      <c r="D351" s="27" t="s">
        <v>48</v>
      </c>
      <c r="G351" s="28">
        <v>1558.5</v>
      </c>
      <c r="H351" s="26">
        <v>0</v>
      </c>
      <c r="I351" s="26">
        <v>34</v>
      </c>
      <c r="J351" s="36">
        <v>2</v>
      </c>
      <c r="K351" s="34">
        <v>2014</v>
      </c>
      <c r="L351" s="34">
        <v>3</v>
      </c>
      <c r="M351" s="34">
        <v>31</v>
      </c>
      <c r="N351" s="26"/>
    </row>
    <row r="352" spans="1:14">
      <c r="A352" s="26">
        <v>100201</v>
      </c>
      <c r="B352" s="27" t="s">
        <v>452</v>
      </c>
      <c r="C352" s="26" t="s">
        <v>47</v>
      </c>
      <c r="D352" s="27" t="s">
        <v>48</v>
      </c>
      <c r="G352" s="28">
        <v>2016.3</v>
      </c>
      <c r="H352" s="26">
        <v>0</v>
      </c>
      <c r="I352" s="26">
        <v>34</v>
      </c>
      <c r="J352" s="36">
        <v>2</v>
      </c>
      <c r="K352" s="34">
        <v>2014</v>
      </c>
      <c r="L352" s="34">
        <v>3</v>
      </c>
      <c r="M352" s="34">
        <v>31</v>
      </c>
      <c r="N352" s="26"/>
    </row>
    <row r="353" spans="1:14">
      <c r="A353" s="26">
        <v>112206</v>
      </c>
      <c r="B353" s="27" t="s">
        <v>453</v>
      </c>
      <c r="C353" s="26" t="s">
        <v>49</v>
      </c>
      <c r="D353" s="27" t="s">
        <v>55</v>
      </c>
      <c r="G353" s="28">
        <v>0</v>
      </c>
      <c r="H353" s="26">
        <v>3574.8</v>
      </c>
      <c r="I353" s="26">
        <v>34</v>
      </c>
      <c r="J353" s="36">
        <v>2</v>
      </c>
      <c r="K353" s="34">
        <v>2014</v>
      </c>
      <c r="L353" s="34">
        <v>3</v>
      </c>
      <c r="M353" s="34">
        <v>31</v>
      </c>
      <c r="N353" s="26"/>
    </row>
    <row r="354" spans="1:14">
      <c r="A354" s="26">
        <v>122105</v>
      </c>
      <c r="B354" s="27" t="s">
        <v>454</v>
      </c>
      <c r="C354" s="26" t="s">
        <v>78</v>
      </c>
      <c r="D354" s="27" t="s">
        <v>83</v>
      </c>
      <c r="G354" s="28">
        <v>990</v>
      </c>
      <c r="H354" s="26">
        <v>0</v>
      </c>
      <c r="I354" s="26">
        <v>35</v>
      </c>
      <c r="J354" s="36">
        <v>1</v>
      </c>
      <c r="K354" s="34">
        <v>2014</v>
      </c>
      <c r="L354" s="34">
        <v>3</v>
      </c>
      <c r="M354" s="34">
        <v>31</v>
      </c>
      <c r="N354" s="26"/>
    </row>
    <row r="355" spans="1:14">
      <c r="A355" s="26">
        <v>100201</v>
      </c>
      <c r="B355" s="27" t="s">
        <v>455</v>
      </c>
      <c r="C355" s="26" t="s">
        <v>47</v>
      </c>
      <c r="D355" s="27" t="s">
        <v>48</v>
      </c>
      <c r="G355" s="28">
        <v>0</v>
      </c>
      <c r="H355" s="26">
        <v>990</v>
      </c>
      <c r="I355" s="26">
        <v>35</v>
      </c>
      <c r="J355" s="36">
        <v>1</v>
      </c>
      <c r="K355" s="34">
        <v>2014</v>
      </c>
      <c r="L355" s="34">
        <v>3</v>
      </c>
      <c r="M355" s="34">
        <v>31</v>
      </c>
      <c r="N355" s="26"/>
    </row>
    <row r="356" spans="1:14">
      <c r="A356" s="26">
        <v>560204</v>
      </c>
      <c r="B356" s="27" t="s">
        <v>456</v>
      </c>
      <c r="C356" s="26" t="s">
        <v>166</v>
      </c>
      <c r="D356" s="27" t="s">
        <v>170</v>
      </c>
      <c r="G356" s="28">
        <v>3008</v>
      </c>
      <c r="H356" s="26">
        <v>0</v>
      </c>
      <c r="I356" s="26">
        <v>36</v>
      </c>
      <c r="J356" s="36">
        <v>7</v>
      </c>
      <c r="K356" s="34">
        <v>2014</v>
      </c>
      <c r="L356" s="34">
        <v>3</v>
      </c>
      <c r="M356" s="34">
        <v>31</v>
      </c>
      <c r="N356" s="26"/>
    </row>
    <row r="357" spans="1:14">
      <c r="A357" s="26">
        <v>560207</v>
      </c>
      <c r="B357" s="27" t="s">
        <v>427</v>
      </c>
      <c r="C357" s="26" t="s">
        <v>166</v>
      </c>
      <c r="D357" s="27" t="s">
        <v>173</v>
      </c>
      <c r="G357" s="28">
        <v>100</v>
      </c>
      <c r="H357" s="26">
        <v>0</v>
      </c>
      <c r="I357" s="26">
        <v>36</v>
      </c>
      <c r="J357" s="36">
        <v>7</v>
      </c>
      <c r="K357" s="34">
        <v>2014</v>
      </c>
      <c r="L357" s="34">
        <v>3</v>
      </c>
      <c r="M357" s="34">
        <v>31</v>
      </c>
      <c r="N357" s="26"/>
    </row>
    <row r="358" spans="1:14">
      <c r="A358" s="26">
        <v>560206</v>
      </c>
      <c r="B358" s="27" t="s">
        <v>457</v>
      </c>
      <c r="C358" s="26" t="s">
        <v>166</v>
      </c>
      <c r="D358" s="27" t="s">
        <v>172</v>
      </c>
      <c r="G358" s="28">
        <v>67190</v>
      </c>
      <c r="H358" s="26">
        <v>0</v>
      </c>
      <c r="I358" s="26">
        <v>36</v>
      </c>
      <c r="J358" s="36">
        <v>7</v>
      </c>
      <c r="K358" s="34">
        <v>2014</v>
      </c>
      <c r="L358" s="34">
        <v>3</v>
      </c>
      <c r="M358" s="34">
        <v>31</v>
      </c>
      <c r="N358" s="26"/>
    </row>
    <row r="359" spans="1:14">
      <c r="A359" s="26">
        <v>224101</v>
      </c>
      <c r="B359" s="27" t="s">
        <v>458</v>
      </c>
      <c r="C359" s="26" t="s">
        <v>140</v>
      </c>
      <c r="D359" s="27" t="s">
        <v>12</v>
      </c>
      <c r="G359" s="28">
        <v>0</v>
      </c>
      <c r="H359" s="26">
        <v>70298</v>
      </c>
      <c r="I359" s="26">
        <v>36</v>
      </c>
      <c r="J359" s="36">
        <v>7</v>
      </c>
      <c r="K359" s="34">
        <v>2014</v>
      </c>
      <c r="L359" s="34">
        <v>3</v>
      </c>
      <c r="M359" s="34">
        <v>31</v>
      </c>
      <c r="N359" s="26"/>
    </row>
    <row r="360" spans="1:14">
      <c r="A360" s="26">
        <v>540301</v>
      </c>
      <c r="B360" s="27" t="s">
        <v>459</v>
      </c>
      <c r="C360" s="26" t="s">
        <v>165</v>
      </c>
      <c r="D360" s="27" t="s">
        <v>129</v>
      </c>
      <c r="G360" s="28">
        <v>56</v>
      </c>
      <c r="H360" s="26">
        <v>0</v>
      </c>
      <c r="I360" s="26">
        <v>37</v>
      </c>
      <c r="J360" s="36">
        <v>1</v>
      </c>
      <c r="K360" s="34">
        <v>2014</v>
      </c>
      <c r="L360" s="34">
        <v>3</v>
      </c>
      <c r="M360" s="34">
        <v>31</v>
      </c>
      <c r="N360" s="26"/>
    </row>
    <row r="361" spans="1:14">
      <c r="A361" s="26">
        <v>540302</v>
      </c>
      <c r="B361" s="27" t="s">
        <v>459</v>
      </c>
      <c r="C361" s="26" t="s">
        <v>165</v>
      </c>
      <c r="D361" s="27" t="s">
        <v>130</v>
      </c>
      <c r="G361" s="28">
        <v>40</v>
      </c>
      <c r="H361" s="26">
        <v>0</v>
      </c>
      <c r="I361" s="26">
        <v>37</v>
      </c>
      <c r="J361" s="36">
        <v>1</v>
      </c>
      <c r="K361" s="34">
        <v>2014</v>
      </c>
      <c r="L361" s="34">
        <v>3</v>
      </c>
      <c r="M361" s="34">
        <v>31</v>
      </c>
      <c r="N361" s="26"/>
    </row>
    <row r="362" spans="1:14">
      <c r="A362" s="26">
        <v>540303</v>
      </c>
      <c r="B362" s="27" t="s">
        <v>459</v>
      </c>
      <c r="C362" s="26" t="s">
        <v>165</v>
      </c>
      <c r="D362" s="27" t="s">
        <v>131</v>
      </c>
      <c r="G362" s="28">
        <v>6.2</v>
      </c>
      <c r="H362" s="26">
        <v>0</v>
      </c>
      <c r="I362" s="26">
        <v>37</v>
      </c>
      <c r="J362" s="36">
        <v>1</v>
      </c>
      <c r="K362" s="34">
        <v>2014</v>
      </c>
      <c r="L362" s="34">
        <v>3</v>
      </c>
      <c r="M362" s="34">
        <v>31</v>
      </c>
      <c r="N362" s="26"/>
    </row>
    <row r="363" spans="1:14">
      <c r="A363" s="26">
        <v>560206</v>
      </c>
      <c r="B363" s="27" t="s">
        <v>459</v>
      </c>
      <c r="C363" s="26" t="s">
        <v>166</v>
      </c>
      <c r="D363" s="27" t="s">
        <v>172</v>
      </c>
      <c r="G363" s="28">
        <v>20.8</v>
      </c>
      <c r="H363" s="26">
        <v>0</v>
      </c>
      <c r="I363" s="26">
        <v>37</v>
      </c>
      <c r="J363" s="36">
        <v>1</v>
      </c>
      <c r="K363" s="34">
        <v>2014</v>
      </c>
      <c r="L363" s="34">
        <v>3</v>
      </c>
      <c r="M363" s="34">
        <v>31</v>
      </c>
      <c r="N363" s="26"/>
    </row>
    <row r="364" spans="1:14">
      <c r="A364" s="26">
        <v>540304</v>
      </c>
      <c r="B364" s="27" t="s">
        <v>459</v>
      </c>
      <c r="C364" s="26" t="s">
        <v>165</v>
      </c>
      <c r="D364" s="27" t="s">
        <v>128</v>
      </c>
      <c r="G364" s="28">
        <v>800</v>
      </c>
      <c r="H364" s="26">
        <v>0</v>
      </c>
      <c r="I364" s="26">
        <v>37</v>
      </c>
      <c r="J364" s="36">
        <v>1</v>
      </c>
      <c r="K364" s="34">
        <v>2014</v>
      </c>
      <c r="L364" s="34">
        <v>3</v>
      </c>
      <c r="M364" s="34">
        <v>31</v>
      </c>
      <c r="N364" s="26"/>
    </row>
    <row r="365" spans="1:14">
      <c r="A365" s="26">
        <v>222103</v>
      </c>
      <c r="B365" s="27" t="s">
        <v>459</v>
      </c>
      <c r="C365" s="26" t="s">
        <v>126</v>
      </c>
      <c r="D365" s="27" t="s">
        <v>129</v>
      </c>
      <c r="G365" s="28">
        <v>0</v>
      </c>
      <c r="H365" s="26">
        <v>56</v>
      </c>
      <c r="I365" s="26">
        <v>37</v>
      </c>
      <c r="J365" s="36">
        <v>1</v>
      </c>
      <c r="K365" s="34">
        <v>2014</v>
      </c>
      <c r="L365" s="34">
        <v>3</v>
      </c>
      <c r="M365" s="34">
        <v>31</v>
      </c>
      <c r="N365" s="26"/>
    </row>
    <row r="366" spans="1:14">
      <c r="A366" s="26">
        <v>222104</v>
      </c>
      <c r="B366" s="27" t="s">
        <v>459</v>
      </c>
      <c r="C366" s="26" t="s">
        <v>126</v>
      </c>
      <c r="D366" s="27" t="s">
        <v>130</v>
      </c>
      <c r="G366" s="28">
        <v>0</v>
      </c>
      <c r="H366" s="26">
        <v>40</v>
      </c>
      <c r="I366" s="26">
        <v>37</v>
      </c>
      <c r="J366" s="36">
        <v>1</v>
      </c>
      <c r="K366" s="34">
        <v>2014</v>
      </c>
      <c r="L366" s="34">
        <v>3</v>
      </c>
      <c r="M366" s="34">
        <v>31</v>
      </c>
      <c r="N366" s="26"/>
    </row>
    <row r="367" spans="1:14">
      <c r="A367" s="26">
        <v>222105</v>
      </c>
      <c r="B367" s="27" t="s">
        <v>459</v>
      </c>
      <c r="C367" s="26" t="s">
        <v>126</v>
      </c>
      <c r="D367" s="27" t="s">
        <v>131</v>
      </c>
      <c r="G367" s="28">
        <v>0</v>
      </c>
      <c r="H367" s="26">
        <v>6.2</v>
      </c>
      <c r="I367" s="26">
        <v>37</v>
      </c>
      <c r="J367" s="36">
        <v>1</v>
      </c>
      <c r="K367" s="34">
        <v>2014</v>
      </c>
      <c r="L367" s="34">
        <v>3</v>
      </c>
      <c r="M367" s="34">
        <v>31</v>
      </c>
      <c r="N367" s="26"/>
    </row>
    <row r="368" spans="1:14">
      <c r="A368" s="26">
        <v>222102</v>
      </c>
      <c r="B368" s="27" t="s">
        <v>459</v>
      </c>
      <c r="C368" s="26" t="s">
        <v>126</v>
      </c>
      <c r="D368" s="27" t="s">
        <v>128</v>
      </c>
      <c r="G368" s="28">
        <v>0</v>
      </c>
      <c r="H368" s="26">
        <v>800</v>
      </c>
      <c r="I368" s="26">
        <v>37</v>
      </c>
      <c r="J368" s="36">
        <v>1</v>
      </c>
      <c r="K368" s="34">
        <v>2014</v>
      </c>
      <c r="L368" s="34">
        <v>3</v>
      </c>
      <c r="M368" s="34">
        <v>31</v>
      </c>
      <c r="N368" s="26"/>
    </row>
    <row r="369" spans="1:14">
      <c r="A369" s="26">
        <v>224104</v>
      </c>
      <c r="B369" s="27" t="s">
        <v>459</v>
      </c>
      <c r="C369" s="26" t="s">
        <v>140</v>
      </c>
      <c r="D369" s="27" t="s">
        <v>142</v>
      </c>
      <c r="G369" s="28">
        <v>0</v>
      </c>
      <c r="H369" s="26">
        <v>20.8</v>
      </c>
      <c r="I369" s="26">
        <v>37</v>
      </c>
      <c r="J369" s="36">
        <v>1</v>
      </c>
      <c r="K369" s="34">
        <v>2014</v>
      </c>
      <c r="L369" s="34">
        <v>3</v>
      </c>
      <c r="M369" s="34">
        <v>31</v>
      </c>
      <c r="N369" s="26"/>
    </row>
    <row r="370" spans="1:14">
      <c r="A370" s="26">
        <v>530101</v>
      </c>
      <c r="B370" s="27" t="s">
        <v>460</v>
      </c>
      <c r="C370" s="26" t="s">
        <v>179</v>
      </c>
      <c r="D370" s="27" t="s">
        <v>199</v>
      </c>
      <c r="G370" s="28">
        <v>0</v>
      </c>
      <c r="H370" s="26">
        <v>437.5</v>
      </c>
      <c r="I370" s="26">
        <v>38</v>
      </c>
      <c r="J370" s="36">
        <v>0</v>
      </c>
      <c r="K370" s="34">
        <v>2014</v>
      </c>
      <c r="L370" s="34">
        <v>3</v>
      </c>
      <c r="M370" s="34">
        <v>31</v>
      </c>
      <c r="N370" s="26"/>
    </row>
    <row r="371" spans="1:14">
      <c r="A371" s="26">
        <v>540304</v>
      </c>
      <c r="B371" s="27" t="s">
        <v>461</v>
      </c>
      <c r="C371" s="26" t="s">
        <v>165</v>
      </c>
      <c r="D371" s="27" t="s">
        <v>128</v>
      </c>
      <c r="G371" s="28">
        <v>437.5</v>
      </c>
      <c r="H371" s="26">
        <v>0</v>
      </c>
      <c r="I371" s="26">
        <v>38</v>
      </c>
      <c r="J371" s="36">
        <v>0</v>
      </c>
      <c r="K371" s="34">
        <v>2014</v>
      </c>
      <c r="L371" s="34">
        <v>3</v>
      </c>
      <c r="M371" s="34">
        <v>31</v>
      </c>
      <c r="N371" s="26"/>
    </row>
    <row r="372" spans="1:14">
      <c r="A372" s="26">
        <v>222102</v>
      </c>
      <c r="B372" s="27" t="s">
        <v>462</v>
      </c>
      <c r="C372" s="26" t="s">
        <v>126</v>
      </c>
      <c r="D372" s="27" t="s">
        <v>128</v>
      </c>
      <c r="G372" s="28">
        <v>100</v>
      </c>
      <c r="H372" s="26">
        <v>0</v>
      </c>
      <c r="I372" s="26">
        <v>39</v>
      </c>
      <c r="J372" s="36">
        <v>0</v>
      </c>
      <c r="K372" s="34">
        <v>2014</v>
      </c>
      <c r="L372" s="34">
        <v>3</v>
      </c>
      <c r="M372" s="34">
        <v>31</v>
      </c>
      <c r="N372" s="26"/>
    </row>
    <row r="373" spans="1:14">
      <c r="A373" s="26">
        <v>222103</v>
      </c>
      <c r="B373" s="27" t="s">
        <v>462</v>
      </c>
      <c r="C373" s="26" t="s">
        <v>126</v>
      </c>
      <c r="D373" s="27" t="s">
        <v>129</v>
      </c>
      <c r="G373" s="28">
        <v>7</v>
      </c>
      <c r="H373" s="26">
        <v>0</v>
      </c>
      <c r="I373" s="26">
        <v>39</v>
      </c>
      <c r="J373" s="36">
        <v>0</v>
      </c>
      <c r="K373" s="34">
        <v>2014</v>
      </c>
      <c r="L373" s="34">
        <v>3</v>
      </c>
      <c r="M373" s="34">
        <v>31</v>
      </c>
      <c r="N373" s="26"/>
    </row>
    <row r="374" spans="1:14">
      <c r="A374" s="26">
        <v>222104</v>
      </c>
      <c r="B374" s="27" t="s">
        <v>462</v>
      </c>
      <c r="C374" s="26" t="s">
        <v>126</v>
      </c>
      <c r="D374" s="27" t="s">
        <v>130</v>
      </c>
      <c r="G374" s="28">
        <v>5</v>
      </c>
      <c r="H374" s="26">
        <v>0</v>
      </c>
      <c r="I374" s="26">
        <v>39</v>
      </c>
      <c r="J374" s="36">
        <v>0</v>
      </c>
      <c r="K374" s="34">
        <v>2014</v>
      </c>
      <c r="L374" s="34">
        <v>3</v>
      </c>
      <c r="M374" s="34">
        <v>31</v>
      </c>
      <c r="N374" s="26"/>
    </row>
    <row r="375" spans="1:14">
      <c r="A375" s="26">
        <v>530101</v>
      </c>
      <c r="B375" s="27" t="s">
        <v>462</v>
      </c>
      <c r="C375" s="26" t="s">
        <v>179</v>
      </c>
      <c r="D375" s="27" t="s">
        <v>199</v>
      </c>
      <c r="G375" s="28">
        <v>0</v>
      </c>
      <c r="H375" s="26">
        <v>112</v>
      </c>
      <c r="I375" s="26">
        <v>39</v>
      </c>
      <c r="J375" s="36">
        <v>0</v>
      </c>
      <c r="K375" s="34">
        <v>2014</v>
      </c>
      <c r="L375" s="34">
        <v>3</v>
      </c>
      <c r="M375" s="34">
        <v>31</v>
      </c>
      <c r="N375" s="26"/>
    </row>
    <row r="376" spans="1:14">
      <c r="A376" s="26">
        <v>560301</v>
      </c>
      <c r="B376" s="27" t="s">
        <v>178</v>
      </c>
      <c r="C376" s="26" t="s">
        <v>177</v>
      </c>
      <c r="D376" s="27" t="s">
        <v>199</v>
      </c>
      <c r="G376" s="28">
        <v>6.5</v>
      </c>
      <c r="H376" s="26">
        <v>0</v>
      </c>
      <c r="I376" s="26">
        <v>1</v>
      </c>
      <c r="J376" s="36">
        <v>2</v>
      </c>
      <c r="K376" s="34">
        <v>2014</v>
      </c>
      <c r="L376" s="34">
        <v>4</v>
      </c>
      <c r="M376" s="34">
        <v>21</v>
      </c>
      <c r="N376" s="26"/>
    </row>
    <row r="377" spans="1:14">
      <c r="A377" s="26">
        <v>100201</v>
      </c>
      <c r="B377" s="27" t="s">
        <v>463</v>
      </c>
      <c r="C377" s="26" t="s">
        <v>47</v>
      </c>
      <c r="D377" s="27" t="s">
        <v>48</v>
      </c>
      <c r="G377" s="28">
        <v>0</v>
      </c>
      <c r="H377" s="26">
        <v>5.5</v>
      </c>
      <c r="I377" s="26">
        <v>1</v>
      </c>
      <c r="J377" s="36">
        <v>2</v>
      </c>
      <c r="K377" s="34">
        <v>2014</v>
      </c>
      <c r="L377" s="34">
        <v>4</v>
      </c>
      <c r="M377" s="34">
        <v>21</v>
      </c>
      <c r="N377" s="26"/>
    </row>
    <row r="378" spans="1:14">
      <c r="A378" s="26">
        <v>100201</v>
      </c>
      <c r="B378" s="27" t="s">
        <v>464</v>
      </c>
      <c r="C378" s="26" t="s">
        <v>47</v>
      </c>
      <c r="D378" s="27" t="s">
        <v>48</v>
      </c>
      <c r="G378" s="28">
        <v>0</v>
      </c>
      <c r="H378" s="26">
        <v>1</v>
      </c>
      <c r="I378" s="26">
        <v>1</v>
      </c>
      <c r="J378" s="36">
        <v>2</v>
      </c>
      <c r="K378" s="34">
        <v>2014</v>
      </c>
      <c r="L378" s="34">
        <v>4</v>
      </c>
      <c r="M378" s="34">
        <v>21</v>
      </c>
      <c r="N378" s="26"/>
    </row>
    <row r="379" spans="1:14">
      <c r="A379" s="26">
        <v>221104</v>
      </c>
      <c r="B379" s="27" t="s">
        <v>465</v>
      </c>
      <c r="C379" s="26" t="s">
        <v>113</v>
      </c>
      <c r="D379" s="27" t="s">
        <v>117</v>
      </c>
      <c r="G379" s="28">
        <v>1861.86</v>
      </c>
      <c r="H379" s="26">
        <v>0</v>
      </c>
      <c r="I379" s="26">
        <v>2</v>
      </c>
      <c r="J379" s="36">
        <v>2</v>
      </c>
      <c r="K379" s="34">
        <v>2014</v>
      </c>
      <c r="L379" s="34">
        <v>4</v>
      </c>
      <c r="M379" s="34">
        <v>21</v>
      </c>
      <c r="N379" s="26"/>
    </row>
    <row r="380" spans="1:14">
      <c r="A380" s="26">
        <v>100201</v>
      </c>
      <c r="B380" s="27" t="s">
        <v>466</v>
      </c>
      <c r="C380" s="26" t="s">
        <v>47</v>
      </c>
      <c r="D380" s="27" t="s">
        <v>48</v>
      </c>
      <c r="G380" s="28">
        <v>0</v>
      </c>
      <c r="H380" s="26">
        <v>1861.86</v>
      </c>
      <c r="I380" s="26">
        <v>2</v>
      </c>
      <c r="J380" s="36">
        <v>2</v>
      </c>
      <c r="K380" s="34">
        <v>2014</v>
      </c>
      <c r="L380" s="34">
        <v>4</v>
      </c>
      <c r="M380" s="34">
        <v>21</v>
      </c>
      <c r="N380" s="26"/>
    </row>
    <row r="381" spans="1:14">
      <c r="A381" s="26">
        <v>222105</v>
      </c>
      <c r="B381" s="27" t="s">
        <v>467</v>
      </c>
      <c r="C381" s="26" t="s">
        <v>126</v>
      </c>
      <c r="D381" s="27" t="s">
        <v>131</v>
      </c>
      <c r="G381" s="28">
        <v>6.2</v>
      </c>
      <c r="H381" s="26">
        <v>0</v>
      </c>
      <c r="I381" s="26">
        <v>3</v>
      </c>
      <c r="J381" s="36">
        <v>4</v>
      </c>
      <c r="K381" s="34">
        <v>2014</v>
      </c>
      <c r="L381" s="34">
        <v>4</v>
      </c>
      <c r="M381" s="34">
        <v>21</v>
      </c>
      <c r="N381" s="26"/>
    </row>
    <row r="382" spans="1:14">
      <c r="A382" s="26">
        <v>224104</v>
      </c>
      <c r="B382" s="27" t="s">
        <v>468</v>
      </c>
      <c r="C382" s="26" t="s">
        <v>140</v>
      </c>
      <c r="D382" s="27" t="s">
        <v>142</v>
      </c>
      <c r="G382" s="28">
        <v>20.8</v>
      </c>
      <c r="H382" s="26">
        <v>0</v>
      </c>
      <c r="I382" s="26">
        <v>3</v>
      </c>
      <c r="J382" s="36">
        <v>4</v>
      </c>
      <c r="K382" s="34">
        <v>2014</v>
      </c>
      <c r="L382" s="34">
        <v>4</v>
      </c>
      <c r="M382" s="34">
        <v>21</v>
      </c>
      <c r="N382" s="26"/>
    </row>
    <row r="383" spans="1:14">
      <c r="A383" s="26">
        <v>221103</v>
      </c>
      <c r="B383" s="27" t="s">
        <v>469</v>
      </c>
      <c r="C383" s="26" t="s">
        <v>113</v>
      </c>
      <c r="D383" s="27" t="s">
        <v>116</v>
      </c>
      <c r="G383" s="28">
        <v>24</v>
      </c>
      <c r="H383" s="26">
        <v>0</v>
      </c>
      <c r="I383" s="26">
        <v>3</v>
      </c>
      <c r="J383" s="36">
        <v>4</v>
      </c>
      <c r="K383" s="34">
        <v>2014</v>
      </c>
      <c r="L383" s="34">
        <v>4</v>
      </c>
      <c r="M383" s="34">
        <v>21</v>
      </c>
      <c r="N383" s="26"/>
    </row>
    <row r="384" spans="1:14">
      <c r="A384" s="26">
        <v>560206</v>
      </c>
      <c r="B384" s="27" t="s">
        <v>470</v>
      </c>
      <c r="C384" s="26" t="s">
        <v>166</v>
      </c>
      <c r="D384" s="27" t="s">
        <v>172</v>
      </c>
      <c r="G384" s="28">
        <v>51</v>
      </c>
      <c r="H384" s="26">
        <v>0</v>
      </c>
      <c r="I384" s="26">
        <v>3</v>
      </c>
      <c r="J384" s="36">
        <v>4</v>
      </c>
      <c r="K384" s="34">
        <v>2014</v>
      </c>
      <c r="L384" s="34">
        <v>4</v>
      </c>
      <c r="M384" s="34">
        <v>21</v>
      </c>
      <c r="N384" s="26"/>
    </row>
    <row r="385" spans="1:14">
      <c r="A385" s="26">
        <v>100201</v>
      </c>
      <c r="B385" s="27" t="s">
        <v>471</v>
      </c>
      <c r="C385" s="26" t="s">
        <v>47</v>
      </c>
      <c r="D385" s="27" t="s">
        <v>48</v>
      </c>
      <c r="G385" s="28">
        <v>0</v>
      </c>
      <c r="H385" s="26">
        <v>6.2</v>
      </c>
      <c r="I385" s="26">
        <v>3</v>
      </c>
      <c r="J385" s="36">
        <v>4</v>
      </c>
      <c r="K385" s="34">
        <v>2014</v>
      </c>
      <c r="L385" s="34">
        <v>4</v>
      </c>
      <c r="M385" s="34">
        <v>21</v>
      </c>
      <c r="N385" s="26"/>
    </row>
    <row r="386" spans="1:14">
      <c r="A386" s="26">
        <v>100201</v>
      </c>
      <c r="B386" s="27" t="s">
        <v>472</v>
      </c>
      <c r="C386" s="26" t="s">
        <v>47</v>
      </c>
      <c r="D386" s="27" t="s">
        <v>48</v>
      </c>
      <c r="G386" s="28">
        <v>0</v>
      </c>
      <c r="H386" s="26">
        <v>95.8</v>
      </c>
      <c r="I386" s="26">
        <v>3</v>
      </c>
      <c r="J386" s="36">
        <v>4</v>
      </c>
      <c r="K386" s="34">
        <v>2014</v>
      </c>
      <c r="L386" s="34">
        <v>4</v>
      </c>
      <c r="M386" s="34">
        <v>21</v>
      </c>
      <c r="N386" s="26"/>
    </row>
    <row r="387" spans="1:14">
      <c r="A387" s="26">
        <v>112202</v>
      </c>
      <c r="B387" s="27" t="s">
        <v>473</v>
      </c>
      <c r="C387" s="26" t="s">
        <v>49</v>
      </c>
      <c r="D387" s="27" t="s">
        <v>51</v>
      </c>
      <c r="G387" s="28">
        <v>0</v>
      </c>
      <c r="H387" s="26">
        <v>116600</v>
      </c>
      <c r="I387" s="26">
        <v>4</v>
      </c>
      <c r="J387" s="36">
        <v>1</v>
      </c>
      <c r="K387" s="34">
        <v>2014</v>
      </c>
      <c r="L387" s="34">
        <v>4</v>
      </c>
      <c r="M387" s="34">
        <v>21</v>
      </c>
      <c r="N387" s="26"/>
    </row>
    <row r="388" spans="1:14">
      <c r="A388" s="26">
        <v>100201</v>
      </c>
      <c r="B388" s="27" t="s">
        <v>474</v>
      </c>
      <c r="C388" s="26" t="s">
        <v>47</v>
      </c>
      <c r="D388" s="27" t="s">
        <v>48</v>
      </c>
      <c r="G388" s="28">
        <v>116600</v>
      </c>
      <c r="H388" s="26">
        <v>0</v>
      </c>
      <c r="I388" s="26">
        <v>4</v>
      </c>
      <c r="J388" s="36">
        <v>1</v>
      </c>
      <c r="K388" s="34">
        <v>2014</v>
      </c>
      <c r="L388" s="34">
        <v>4</v>
      </c>
      <c r="M388" s="34">
        <v>21</v>
      </c>
      <c r="N388" s="26"/>
    </row>
    <row r="389" spans="1:14">
      <c r="A389" s="26">
        <v>112204</v>
      </c>
      <c r="B389" s="27" t="s">
        <v>475</v>
      </c>
      <c r="C389" s="26" t="s">
        <v>49</v>
      </c>
      <c r="D389" s="27" t="s">
        <v>255</v>
      </c>
      <c r="G389" s="28">
        <v>0</v>
      </c>
      <c r="H389" s="26">
        <v>4000</v>
      </c>
      <c r="I389" s="26">
        <v>5</v>
      </c>
      <c r="J389" s="36">
        <v>1</v>
      </c>
      <c r="K389" s="34">
        <v>2014</v>
      </c>
      <c r="L389" s="34">
        <v>4</v>
      </c>
      <c r="M389" s="34">
        <v>21</v>
      </c>
      <c r="N389" s="26"/>
    </row>
    <row r="390" spans="1:14">
      <c r="A390" s="26">
        <v>112205</v>
      </c>
      <c r="B390" s="27" t="s">
        <v>429</v>
      </c>
      <c r="C390" s="26" t="s">
        <v>49</v>
      </c>
      <c r="D390" s="27" t="s">
        <v>366</v>
      </c>
      <c r="G390" s="28">
        <v>0</v>
      </c>
      <c r="H390" s="26">
        <v>3992</v>
      </c>
      <c r="I390" s="26">
        <v>5</v>
      </c>
      <c r="J390" s="36">
        <v>1</v>
      </c>
      <c r="K390" s="34">
        <v>2014</v>
      </c>
      <c r="L390" s="34">
        <v>4</v>
      </c>
      <c r="M390" s="34">
        <v>21</v>
      </c>
      <c r="N390" s="26"/>
    </row>
    <row r="391" spans="1:14">
      <c r="A391" s="26">
        <v>100201</v>
      </c>
      <c r="B391" s="27" t="s">
        <v>476</v>
      </c>
      <c r="C391" s="26" t="s">
        <v>47</v>
      </c>
      <c r="D391" s="27" t="s">
        <v>48</v>
      </c>
      <c r="G391" s="28">
        <v>7992</v>
      </c>
      <c r="H391" s="26">
        <v>0</v>
      </c>
      <c r="I391" s="26">
        <v>5</v>
      </c>
      <c r="J391" s="36">
        <v>1</v>
      </c>
      <c r="K391" s="34">
        <v>2014</v>
      </c>
      <c r="L391" s="34">
        <v>4</v>
      </c>
      <c r="M391" s="34">
        <v>21</v>
      </c>
      <c r="N391" s="26"/>
    </row>
    <row r="392" spans="1:14">
      <c r="A392" s="26">
        <v>122104</v>
      </c>
      <c r="B392" s="27" t="s">
        <v>477</v>
      </c>
      <c r="C392" s="26" t="s">
        <v>78</v>
      </c>
      <c r="D392" s="27" t="s">
        <v>82</v>
      </c>
      <c r="G392" s="28">
        <v>0</v>
      </c>
      <c r="H392" s="26">
        <v>8000</v>
      </c>
      <c r="I392" s="26">
        <v>6</v>
      </c>
      <c r="J392" s="36">
        <v>1</v>
      </c>
      <c r="K392" s="34">
        <v>2014</v>
      </c>
      <c r="L392" s="34">
        <v>4</v>
      </c>
      <c r="M392" s="34">
        <v>21</v>
      </c>
      <c r="N392" s="26"/>
    </row>
    <row r="393" spans="1:14">
      <c r="A393" s="26">
        <v>100201</v>
      </c>
      <c r="B393" s="27" t="s">
        <v>478</v>
      </c>
      <c r="C393" s="26" t="s">
        <v>47</v>
      </c>
      <c r="D393" s="27" t="s">
        <v>48</v>
      </c>
      <c r="G393" s="28">
        <v>8000</v>
      </c>
      <c r="H393" s="26">
        <v>0</v>
      </c>
      <c r="I393" s="26">
        <v>6</v>
      </c>
      <c r="J393" s="36">
        <v>1</v>
      </c>
      <c r="K393" s="34">
        <v>2014</v>
      </c>
      <c r="L393" s="34">
        <v>4</v>
      </c>
      <c r="M393" s="34">
        <v>21</v>
      </c>
      <c r="N393" s="26"/>
    </row>
    <row r="394" spans="1:14">
      <c r="A394" s="26">
        <v>100201</v>
      </c>
      <c r="B394" s="27" t="s">
        <v>479</v>
      </c>
      <c r="C394" s="26" t="s">
        <v>47</v>
      </c>
      <c r="D394" s="27" t="s">
        <v>48</v>
      </c>
      <c r="G394" s="28">
        <v>3000</v>
      </c>
      <c r="H394" s="26">
        <v>0</v>
      </c>
      <c r="I394" s="26">
        <v>7</v>
      </c>
      <c r="J394" s="36">
        <v>1</v>
      </c>
      <c r="K394" s="34">
        <v>2014</v>
      </c>
      <c r="L394" s="34">
        <v>4</v>
      </c>
      <c r="M394" s="34">
        <v>21</v>
      </c>
      <c r="N394" s="26"/>
    </row>
    <row r="395" spans="1:14">
      <c r="A395" s="26">
        <v>112204</v>
      </c>
      <c r="B395" s="27" t="s">
        <v>480</v>
      </c>
      <c r="C395" s="26" t="s">
        <v>49</v>
      </c>
      <c r="D395" s="27" t="s">
        <v>255</v>
      </c>
      <c r="G395" s="28">
        <v>0</v>
      </c>
      <c r="H395" s="26">
        <v>2000</v>
      </c>
      <c r="I395" s="26">
        <v>7</v>
      </c>
      <c r="J395" s="36">
        <v>1</v>
      </c>
      <c r="K395" s="34">
        <v>2014</v>
      </c>
      <c r="L395" s="34">
        <v>4</v>
      </c>
      <c r="M395" s="34">
        <v>21</v>
      </c>
      <c r="N395" s="26"/>
    </row>
    <row r="396" spans="1:14">
      <c r="A396" s="26">
        <v>112205</v>
      </c>
      <c r="B396" s="27" t="s">
        <v>481</v>
      </c>
      <c r="C396" s="26" t="s">
        <v>49</v>
      </c>
      <c r="D396" s="27" t="s">
        <v>366</v>
      </c>
      <c r="G396" s="28">
        <v>0</v>
      </c>
      <c r="H396" s="26">
        <v>1000</v>
      </c>
      <c r="I396" s="26">
        <v>7</v>
      </c>
      <c r="J396" s="36">
        <v>1</v>
      </c>
      <c r="K396" s="34">
        <v>2014</v>
      </c>
      <c r="L396" s="34">
        <v>4</v>
      </c>
      <c r="M396" s="34">
        <v>21</v>
      </c>
      <c r="N396" s="26"/>
    </row>
    <row r="397" spans="1:14">
      <c r="A397" s="26">
        <v>224101</v>
      </c>
      <c r="B397" s="27" t="s">
        <v>482</v>
      </c>
      <c r="C397" s="26" t="s">
        <v>140</v>
      </c>
      <c r="D397" s="27" t="s">
        <v>12</v>
      </c>
      <c r="G397" s="28">
        <v>20000</v>
      </c>
      <c r="H397" s="26">
        <v>0</v>
      </c>
      <c r="I397" s="26">
        <v>8</v>
      </c>
      <c r="J397" s="36">
        <v>1</v>
      </c>
      <c r="K397" s="34">
        <v>2014</v>
      </c>
      <c r="L397" s="34">
        <v>4</v>
      </c>
      <c r="M397" s="34">
        <v>21</v>
      </c>
      <c r="N397" s="26"/>
    </row>
    <row r="398" spans="1:14">
      <c r="A398" s="26">
        <v>100201</v>
      </c>
      <c r="B398" s="27" t="s">
        <v>483</v>
      </c>
      <c r="C398" s="26" t="s">
        <v>47</v>
      </c>
      <c r="D398" s="27" t="s">
        <v>48</v>
      </c>
      <c r="G398" s="28">
        <v>0</v>
      </c>
      <c r="H398" s="26">
        <v>20000</v>
      </c>
      <c r="I398" s="26">
        <v>8</v>
      </c>
      <c r="J398" s="36">
        <v>1</v>
      </c>
      <c r="K398" s="34">
        <v>2014</v>
      </c>
      <c r="L398" s="34">
        <v>4</v>
      </c>
      <c r="M398" s="34">
        <v>21</v>
      </c>
      <c r="N398" s="26"/>
    </row>
    <row r="399" spans="1:14">
      <c r="A399" s="26">
        <v>112311</v>
      </c>
      <c r="B399" s="27" t="s">
        <v>484</v>
      </c>
      <c r="C399" s="26" t="s">
        <v>64</v>
      </c>
      <c r="D399" s="27" t="s">
        <v>70</v>
      </c>
      <c r="G399" s="28">
        <v>2000</v>
      </c>
      <c r="H399" s="26">
        <v>0</v>
      </c>
      <c r="I399" s="26">
        <v>9</v>
      </c>
      <c r="J399" s="36">
        <v>1</v>
      </c>
      <c r="K399" s="34">
        <v>2014</v>
      </c>
      <c r="L399" s="34">
        <v>4</v>
      </c>
      <c r="M399" s="34">
        <v>21</v>
      </c>
      <c r="N399" s="26"/>
    </row>
    <row r="400" spans="1:14">
      <c r="A400" s="26">
        <v>100101</v>
      </c>
      <c r="B400" s="27" t="s">
        <v>485</v>
      </c>
      <c r="C400" s="26" t="s">
        <v>46</v>
      </c>
      <c r="D400" s="27" t="s">
        <v>199</v>
      </c>
      <c r="G400" s="28">
        <v>0</v>
      </c>
      <c r="H400" s="26">
        <v>2000</v>
      </c>
      <c r="I400" s="26">
        <v>9</v>
      </c>
      <c r="J400" s="36">
        <v>1</v>
      </c>
      <c r="K400" s="34">
        <v>2014</v>
      </c>
      <c r="L400" s="34">
        <v>4</v>
      </c>
      <c r="M400" s="34">
        <v>21</v>
      </c>
      <c r="N400" s="26"/>
    </row>
    <row r="401" spans="1:14">
      <c r="A401" s="26">
        <v>112312</v>
      </c>
      <c r="B401" s="27" t="s">
        <v>486</v>
      </c>
      <c r="C401" s="26" t="s">
        <v>64</v>
      </c>
      <c r="D401" s="27" t="s">
        <v>71</v>
      </c>
      <c r="G401" s="28">
        <v>42600</v>
      </c>
      <c r="H401" s="26">
        <v>0</v>
      </c>
      <c r="I401" s="26">
        <v>10</v>
      </c>
      <c r="J401" s="36">
        <v>4</v>
      </c>
      <c r="K401" s="34">
        <v>2014</v>
      </c>
      <c r="L401" s="34">
        <v>4</v>
      </c>
      <c r="M401" s="34">
        <v>21</v>
      </c>
      <c r="N401" s="26"/>
    </row>
    <row r="402" spans="1:14">
      <c r="A402" s="26">
        <v>560206</v>
      </c>
      <c r="B402" s="27" t="s">
        <v>487</v>
      </c>
      <c r="C402" s="26" t="s">
        <v>166</v>
      </c>
      <c r="D402" s="27" t="s">
        <v>172</v>
      </c>
      <c r="G402" s="28">
        <v>-3539</v>
      </c>
      <c r="H402" s="26">
        <v>0</v>
      </c>
      <c r="I402" s="26">
        <v>10</v>
      </c>
      <c r="J402" s="36">
        <v>4</v>
      </c>
      <c r="K402" s="34">
        <v>2014</v>
      </c>
      <c r="L402" s="34">
        <v>4</v>
      </c>
      <c r="M402" s="34">
        <v>21</v>
      </c>
      <c r="N402" s="26"/>
    </row>
    <row r="403" spans="1:14">
      <c r="A403" s="26">
        <v>100201</v>
      </c>
      <c r="B403" s="27" t="s">
        <v>488</v>
      </c>
      <c r="C403" s="26" t="s">
        <v>47</v>
      </c>
      <c r="D403" s="27" t="s">
        <v>48</v>
      </c>
      <c r="G403" s="28">
        <v>0</v>
      </c>
      <c r="H403" s="26">
        <v>39061</v>
      </c>
      <c r="I403" s="26">
        <v>10</v>
      </c>
      <c r="J403" s="36">
        <v>4</v>
      </c>
      <c r="K403" s="34">
        <v>2014</v>
      </c>
      <c r="L403" s="34">
        <v>4</v>
      </c>
      <c r="M403" s="34">
        <v>21</v>
      </c>
      <c r="N403" s="26"/>
    </row>
    <row r="404" spans="1:14">
      <c r="A404" s="26">
        <v>221101</v>
      </c>
      <c r="B404" s="27" t="s">
        <v>489</v>
      </c>
      <c r="C404" s="26" t="s">
        <v>113</v>
      </c>
      <c r="D404" s="27" t="s">
        <v>114</v>
      </c>
      <c r="G404" s="28">
        <v>13500</v>
      </c>
      <c r="H404" s="26">
        <v>0</v>
      </c>
      <c r="I404" s="26">
        <v>11</v>
      </c>
      <c r="J404" s="36">
        <v>2</v>
      </c>
      <c r="K404" s="34">
        <v>2014</v>
      </c>
      <c r="L404" s="34">
        <v>4</v>
      </c>
      <c r="M404" s="34">
        <v>21</v>
      </c>
      <c r="N404" s="26"/>
    </row>
    <row r="405" spans="1:14">
      <c r="A405" s="26">
        <v>221102</v>
      </c>
      <c r="B405" s="27" t="s">
        <v>490</v>
      </c>
      <c r="C405" s="26" t="s">
        <v>113</v>
      </c>
      <c r="D405" s="27" t="s">
        <v>115</v>
      </c>
      <c r="G405" s="28">
        <v>370</v>
      </c>
      <c r="H405" s="26">
        <v>0</v>
      </c>
      <c r="I405" s="26">
        <v>11</v>
      </c>
      <c r="J405" s="36">
        <v>2</v>
      </c>
      <c r="K405" s="34">
        <v>2014</v>
      </c>
      <c r="L405" s="34">
        <v>4</v>
      </c>
      <c r="M405" s="34">
        <v>21</v>
      </c>
      <c r="N405" s="26"/>
    </row>
    <row r="406" spans="1:14">
      <c r="A406" s="26">
        <v>100201</v>
      </c>
      <c r="B406" s="27" t="s">
        <v>491</v>
      </c>
      <c r="C406" s="26" t="s">
        <v>47</v>
      </c>
      <c r="D406" s="27" t="s">
        <v>48</v>
      </c>
      <c r="G406" s="28">
        <v>0</v>
      </c>
      <c r="H406" s="26">
        <v>15000</v>
      </c>
      <c r="I406" s="26">
        <v>11</v>
      </c>
      <c r="J406" s="36">
        <v>2</v>
      </c>
      <c r="K406" s="34">
        <v>2014</v>
      </c>
      <c r="L406" s="34">
        <v>4</v>
      </c>
      <c r="M406" s="34">
        <v>21</v>
      </c>
      <c r="N406" s="26"/>
    </row>
    <row r="407" spans="1:14">
      <c r="A407" s="26">
        <v>221104</v>
      </c>
      <c r="B407" s="27" t="s">
        <v>492</v>
      </c>
      <c r="C407" s="26" t="s">
        <v>113</v>
      </c>
      <c r="D407" s="27" t="s">
        <v>117</v>
      </c>
      <c r="G407" s="28">
        <v>0</v>
      </c>
      <c r="H407" s="26">
        <v>748.65</v>
      </c>
      <c r="I407" s="26">
        <v>11</v>
      </c>
      <c r="J407" s="36">
        <v>2</v>
      </c>
      <c r="K407" s="34">
        <v>2014</v>
      </c>
      <c r="L407" s="34">
        <v>4</v>
      </c>
      <c r="M407" s="34">
        <v>21</v>
      </c>
      <c r="N407" s="26"/>
    </row>
    <row r="408" spans="1:14">
      <c r="A408" s="26">
        <v>100101</v>
      </c>
      <c r="B408" s="27" t="s">
        <v>493</v>
      </c>
      <c r="C408" s="26" t="s">
        <v>46</v>
      </c>
      <c r="D408" s="27" t="s">
        <v>199</v>
      </c>
      <c r="G408" s="28">
        <v>1878.65</v>
      </c>
      <c r="H408" s="26">
        <v>0</v>
      </c>
      <c r="I408" s="26">
        <v>11</v>
      </c>
      <c r="J408" s="36">
        <v>2</v>
      </c>
      <c r="K408" s="34">
        <v>2014</v>
      </c>
      <c r="L408" s="34">
        <v>4</v>
      </c>
      <c r="M408" s="34">
        <v>21</v>
      </c>
      <c r="N408" s="26"/>
    </row>
    <row r="409" spans="1:14">
      <c r="A409" s="26">
        <v>560203</v>
      </c>
      <c r="B409" s="27" t="s">
        <v>494</v>
      </c>
      <c r="C409" s="26" t="s">
        <v>166</v>
      </c>
      <c r="D409" s="27" t="s">
        <v>169</v>
      </c>
      <c r="G409" s="28">
        <v>220</v>
      </c>
      <c r="H409" s="26">
        <v>0</v>
      </c>
      <c r="I409" s="26">
        <v>12</v>
      </c>
      <c r="J409" s="36">
        <v>4</v>
      </c>
      <c r="K409" s="34">
        <v>2014</v>
      </c>
      <c r="L409" s="34">
        <v>4</v>
      </c>
      <c r="M409" s="34">
        <v>21</v>
      </c>
      <c r="N409" s="26"/>
    </row>
    <row r="410" spans="1:14">
      <c r="A410" s="26">
        <v>560207</v>
      </c>
      <c r="B410" s="27" t="s">
        <v>495</v>
      </c>
      <c r="C410" s="26" t="s">
        <v>166</v>
      </c>
      <c r="D410" s="27" t="s">
        <v>173</v>
      </c>
      <c r="G410" s="28">
        <v>350</v>
      </c>
      <c r="H410" s="26">
        <v>0</v>
      </c>
      <c r="I410" s="26">
        <v>12</v>
      </c>
      <c r="J410" s="36">
        <v>4</v>
      </c>
      <c r="K410" s="34">
        <v>2014</v>
      </c>
      <c r="L410" s="34">
        <v>4</v>
      </c>
      <c r="M410" s="34">
        <v>21</v>
      </c>
      <c r="N410" s="26"/>
    </row>
    <row r="411" spans="1:14">
      <c r="A411" s="26">
        <v>560206</v>
      </c>
      <c r="B411" s="27" t="s">
        <v>496</v>
      </c>
      <c r="C411" s="26" t="s">
        <v>166</v>
      </c>
      <c r="D411" s="27" t="s">
        <v>172</v>
      </c>
      <c r="G411" s="28">
        <v>90</v>
      </c>
      <c r="H411" s="26">
        <v>0</v>
      </c>
      <c r="I411" s="26">
        <v>12</v>
      </c>
      <c r="J411" s="36">
        <v>4</v>
      </c>
      <c r="K411" s="34">
        <v>2014</v>
      </c>
      <c r="L411" s="34">
        <v>4</v>
      </c>
      <c r="M411" s="34">
        <v>21</v>
      </c>
      <c r="N411" s="26"/>
    </row>
    <row r="412" spans="1:14">
      <c r="A412" s="26">
        <v>221103</v>
      </c>
      <c r="B412" s="27" t="s">
        <v>216</v>
      </c>
      <c r="C412" s="26" t="s">
        <v>113</v>
      </c>
      <c r="D412" s="27" t="s">
        <v>116</v>
      </c>
      <c r="G412" s="28">
        <v>905</v>
      </c>
      <c r="H412" s="26">
        <v>0</v>
      </c>
      <c r="I412" s="26">
        <v>12</v>
      </c>
      <c r="J412" s="36">
        <v>4</v>
      </c>
      <c r="K412" s="34">
        <v>2014</v>
      </c>
      <c r="L412" s="34">
        <v>4</v>
      </c>
      <c r="M412" s="34">
        <v>21</v>
      </c>
      <c r="N412" s="26"/>
    </row>
    <row r="413" spans="1:14">
      <c r="A413" s="26">
        <v>100101</v>
      </c>
      <c r="B413" s="27" t="s">
        <v>497</v>
      </c>
      <c r="C413" s="26" t="s">
        <v>46</v>
      </c>
      <c r="D413" s="27" t="s">
        <v>199</v>
      </c>
      <c r="G413" s="28">
        <v>0</v>
      </c>
      <c r="H413" s="26">
        <v>1565</v>
      </c>
      <c r="I413" s="26">
        <v>12</v>
      </c>
      <c r="J413" s="36">
        <v>4</v>
      </c>
      <c r="K413" s="34">
        <v>2014</v>
      </c>
      <c r="L413" s="34">
        <v>4</v>
      </c>
      <c r="M413" s="34">
        <v>21</v>
      </c>
      <c r="N413" s="26"/>
    </row>
    <row r="414" spans="1:14">
      <c r="A414" s="26">
        <v>100101</v>
      </c>
      <c r="B414" s="27" t="s">
        <v>498</v>
      </c>
      <c r="C414" s="26" t="s">
        <v>46</v>
      </c>
      <c r="D414" s="27" t="s">
        <v>199</v>
      </c>
      <c r="G414" s="28">
        <v>2000</v>
      </c>
      <c r="H414" s="26">
        <v>0</v>
      </c>
      <c r="I414" s="26">
        <v>13</v>
      </c>
      <c r="J414" s="36">
        <v>1</v>
      </c>
      <c r="K414" s="34">
        <v>2014</v>
      </c>
      <c r="L414" s="34">
        <v>4</v>
      </c>
      <c r="M414" s="34">
        <v>21</v>
      </c>
      <c r="N414" s="26"/>
    </row>
    <row r="415" spans="1:14">
      <c r="A415" s="26">
        <v>112204</v>
      </c>
      <c r="B415" s="27" t="s">
        <v>498</v>
      </c>
      <c r="C415" s="26" t="s">
        <v>49</v>
      </c>
      <c r="D415" s="27" t="s">
        <v>255</v>
      </c>
      <c r="G415" s="28">
        <v>0</v>
      </c>
      <c r="H415" s="26">
        <v>2000</v>
      </c>
      <c r="I415" s="26">
        <v>13</v>
      </c>
      <c r="J415" s="36">
        <v>1</v>
      </c>
      <c r="K415" s="34">
        <v>2014</v>
      </c>
      <c r="L415" s="34">
        <v>4</v>
      </c>
      <c r="M415" s="34">
        <v>21</v>
      </c>
      <c r="N415" s="26"/>
    </row>
    <row r="416" spans="1:14">
      <c r="A416" s="26">
        <v>140501</v>
      </c>
      <c r="B416" s="27" t="s">
        <v>54</v>
      </c>
      <c r="C416" s="26" t="s">
        <v>89</v>
      </c>
      <c r="D416" s="27" t="s">
        <v>199</v>
      </c>
      <c r="G416" s="28">
        <v>846.15</v>
      </c>
      <c r="H416" s="26">
        <v>0</v>
      </c>
      <c r="I416" s="26">
        <v>14</v>
      </c>
      <c r="J416" s="36">
        <v>1</v>
      </c>
      <c r="K416" s="34">
        <v>2014</v>
      </c>
      <c r="L416" s="34">
        <v>4</v>
      </c>
      <c r="M416" s="34">
        <v>21</v>
      </c>
      <c r="N416" s="26"/>
    </row>
    <row r="417" spans="1:14">
      <c r="A417" s="26">
        <v>222121</v>
      </c>
      <c r="B417" s="27" t="s">
        <v>54</v>
      </c>
      <c r="C417" s="26" t="s">
        <v>126</v>
      </c>
      <c r="D417" s="27" t="s">
        <v>133</v>
      </c>
      <c r="G417" s="28">
        <v>143.85</v>
      </c>
      <c r="H417" s="26">
        <v>0</v>
      </c>
      <c r="I417" s="26">
        <v>14</v>
      </c>
      <c r="J417" s="36">
        <v>1</v>
      </c>
      <c r="K417" s="34">
        <v>2014</v>
      </c>
      <c r="L417" s="34">
        <v>4</v>
      </c>
      <c r="M417" s="34">
        <v>21</v>
      </c>
      <c r="N417" s="26"/>
    </row>
    <row r="418" spans="1:14">
      <c r="A418" s="26">
        <v>122105</v>
      </c>
      <c r="B418" s="27" t="s">
        <v>499</v>
      </c>
      <c r="C418" s="26" t="s">
        <v>78</v>
      </c>
      <c r="D418" s="27" t="s">
        <v>83</v>
      </c>
      <c r="G418" s="28">
        <v>0</v>
      </c>
      <c r="H418" s="26">
        <v>990</v>
      </c>
      <c r="I418" s="26">
        <v>14</v>
      </c>
      <c r="J418" s="36">
        <v>1</v>
      </c>
      <c r="K418" s="34">
        <v>2014</v>
      </c>
      <c r="L418" s="34">
        <v>4</v>
      </c>
      <c r="M418" s="34">
        <v>21</v>
      </c>
      <c r="N418" s="26"/>
    </row>
    <row r="419" spans="1:14">
      <c r="A419" s="26">
        <v>500101</v>
      </c>
      <c r="B419" s="27" t="s">
        <v>366</v>
      </c>
      <c r="C419" s="26" t="s">
        <v>157</v>
      </c>
      <c r="D419" s="27" t="s">
        <v>158</v>
      </c>
      <c r="G419" s="28">
        <v>0</v>
      </c>
      <c r="H419" s="26">
        <v>295.73</v>
      </c>
      <c r="I419" s="26">
        <v>15</v>
      </c>
      <c r="J419" s="36">
        <v>1</v>
      </c>
      <c r="K419" s="34">
        <v>2014</v>
      </c>
      <c r="L419" s="34">
        <v>4</v>
      </c>
      <c r="M419" s="34">
        <v>21</v>
      </c>
      <c r="N419" s="26"/>
    </row>
    <row r="420" spans="1:14">
      <c r="A420" s="26">
        <v>222125</v>
      </c>
      <c r="B420" s="27" t="s">
        <v>366</v>
      </c>
      <c r="C420" s="26" t="s">
        <v>126</v>
      </c>
      <c r="D420" s="27" t="s">
        <v>136</v>
      </c>
      <c r="G420" s="28">
        <v>0</v>
      </c>
      <c r="H420" s="26">
        <v>50.27</v>
      </c>
      <c r="I420" s="26">
        <v>15</v>
      </c>
      <c r="J420" s="36">
        <v>1</v>
      </c>
      <c r="K420" s="34">
        <v>2014</v>
      </c>
      <c r="L420" s="34">
        <v>4</v>
      </c>
      <c r="M420" s="34">
        <v>21</v>
      </c>
      <c r="N420" s="26"/>
    </row>
    <row r="421" spans="1:14">
      <c r="A421" s="26">
        <v>112205</v>
      </c>
      <c r="B421" s="27" t="s">
        <v>500</v>
      </c>
      <c r="C421" s="26" t="s">
        <v>49</v>
      </c>
      <c r="D421" s="27" t="s">
        <v>366</v>
      </c>
      <c r="G421" s="28">
        <v>346</v>
      </c>
      <c r="H421" s="26">
        <v>0</v>
      </c>
      <c r="I421" s="26">
        <v>15</v>
      </c>
      <c r="J421" s="36">
        <v>1</v>
      </c>
      <c r="K421" s="34">
        <v>2014</v>
      </c>
      <c r="L421" s="34">
        <v>4</v>
      </c>
      <c r="M421" s="34">
        <v>21</v>
      </c>
      <c r="N421" s="26"/>
    </row>
    <row r="422" spans="1:14">
      <c r="A422" s="26">
        <v>112204</v>
      </c>
      <c r="B422" s="27" t="s">
        <v>501</v>
      </c>
      <c r="C422" s="26" t="s">
        <v>49</v>
      </c>
      <c r="D422" s="27" t="s">
        <v>255</v>
      </c>
      <c r="G422" s="28">
        <v>1800</v>
      </c>
      <c r="H422" s="26">
        <v>0</v>
      </c>
      <c r="I422" s="26">
        <v>16</v>
      </c>
      <c r="J422" s="36">
        <v>1</v>
      </c>
      <c r="K422" s="34">
        <v>2014</v>
      </c>
      <c r="L422" s="34">
        <v>4</v>
      </c>
      <c r="M422" s="34">
        <v>21</v>
      </c>
      <c r="N422" s="26"/>
    </row>
    <row r="423" spans="1:14">
      <c r="A423" s="26">
        <v>500102</v>
      </c>
      <c r="B423" s="27" t="s">
        <v>502</v>
      </c>
      <c r="C423" s="26" t="s">
        <v>157</v>
      </c>
      <c r="D423" s="27" t="s">
        <v>159</v>
      </c>
      <c r="G423" s="28">
        <v>0</v>
      </c>
      <c r="H423" s="26">
        <v>1800</v>
      </c>
      <c r="I423" s="26">
        <v>16</v>
      </c>
      <c r="J423" s="36">
        <v>1</v>
      </c>
      <c r="K423" s="34">
        <v>2014</v>
      </c>
      <c r="L423" s="34">
        <v>4</v>
      </c>
      <c r="M423" s="34">
        <v>21</v>
      </c>
      <c r="N423" s="26"/>
    </row>
    <row r="424" spans="1:14">
      <c r="A424" s="26">
        <v>500102</v>
      </c>
      <c r="B424" s="27" t="s">
        <v>503</v>
      </c>
      <c r="C424" s="26" t="s">
        <v>157</v>
      </c>
      <c r="D424" s="27" t="s">
        <v>159</v>
      </c>
      <c r="G424" s="28">
        <v>0</v>
      </c>
      <c r="H424" s="26">
        <v>4500</v>
      </c>
      <c r="I424" s="26">
        <v>17</v>
      </c>
      <c r="J424" s="36">
        <v>1</v>
      </c>
      <c r="K424" s="34">
        <v>2014</v>
      </c>
      <c r="L424" s="34">
        <v>4</v>
      </c>
      <c r="M424" s="34">
        <v>21</v>
      </c>
      <c r="N424" s="26"/>
    </row>
    <row r="425" spans="1:14">
      <c r="A425" s="26">
        <v>112204</v>
      </c>
      <c r="B425" s="27" t="s">
        <v>504</v>
      </c>
      <c r="C425" s="26" t="s">
        <v>49</v>
      </c>
      <c r="D425" s="27" t="s">
        <v>255</v>
      </c>
      <c r="G425" s="28">
        <v>4500</v>
      </c>
      <c r="H425" s="26">
        <v>0</v>
      </c>
      <c r="I425" s="26">
        <v>17</v>
      </c>
      <c r="J425" s="36">
        <v>1</v>
      </c>
      <c r="K425" s="34">
        <v>2014</v>
      </c>
      <c r="L425" s="34">
        <v>4</v>
      </c>
      <c r="M425" s="34">
        <v>21</v>
      </c>
      <c r="N425" s="26"/>
    </row>
    <row r="426" spans="1:14">
      <c r="A426" s="26">
        <v>112204</v>
      </c>
      <c r="B426" s="27" t="s">
        <v>505</v>
      </c>
      <c r="C426" s="26" t="s">
        <v>49</v>
      </c>
      <c r="D426" s="27" t="s">
        <v>255</v>
      </c>
      <c r="G426" s="28">
        <v>23500</v>
      </c>
      <c r="H426" s="26">
        <v>0</v>
      </c>
      <c r="I426" s="26">
        <v>18</v>
      </c>
      <c r="J426" s="36">
        <v>3</v>
      </c>
      <c r="K426" s="34">
        <v>2014</v>
      </c>
      <c r="L426" s="34">
        <v>4</v>
      </c>
      <c r="M426" s="34">
        <v>21</v>
      </c>
      <c r="N426" s="26"/>
    </row>
    <row r="427" spans="1:14">
      <c r="A427" s="26">
        <v>500102</v>
      </c>
      <c r="B427" s="27" t="s">
        <v>506</v>
      </c>
      <c r="C427" s="26" t="s">
        <v>157</v>
      </c>
      <c r="D427" s="27" t="s">
        <v>159</v>
      </c>
      <c r="G427" s="28">
        <v>0</v>
      </c>
      <c r="H427" s="26">
        <v>23500</v>
      </c>
      <c r="I427" s="26">
        <v>18</v>
      </c>
      <c r="J427" s="36">
        <v>3</v>
      </c>
      <c r="K427" s="34">
        <v>2014</v>
      </c>
      <c r="L427" s="34">
        <v>4</v>
      </c>
      <c r="M427" s="34">
        <v>21</v>
      </c>
      <c r="N427" s="26"/>
    </row>
    <row r="428" spans="1:14">
      <c r="A428" s="26">
        <v>500102</v>
      </c>
      <c r="B428" s="27" t="s">
        <v>507</v>
      </c>
      <c r="C428" s="26" t="s">
        <v>157</v>
      </c>
      <c r="D428" s="27" t="s">
        <v>159</v>
      </c>
      <c r="G428" s="28">
        <v>0</v>
      </c>
      <c r="H428" s="26">
        <v>3500</v>
      </c>
      <c r="I428" s="26">
        <v>19</v>
      </c>
      <c r="J428" s="36">
        <v>1</v>
      </c>
      <c r="K428" s="34">
        <v>2014</v>
      </c>
      <c r="L428" s="34">
        <v>4</v>
      </c>
      <c r="M428" s="34">
        <v>21</v>
      </c>
      <c r="N428" s="26"/>
    </row>
    <row r="429" spans="1:14">
      <c r="A429" s="26">
        <v>112204</v>
      </c>
      <c r="B429" s="27" t="s">
        <v>508</v>
      </c>
      <c r="C429" s="26" t="s">
        <v>49</v>
      </c>
      <c r="D429" s="27" t="s">
        <v>255</v>
      </c>
      <c r="G429" s="28">
        <v>3500</v>
      </c>
      <c r="H429" s="26">
        <v>0</v>
      </c>
      <c r="I429" s="26">
        <v>19</v>
      </c>
      <c r="J429" s="36">
        <v>1</v>
      </c>
      <c r="K429" s="34">
        <v>2014</v>
      </c>
      <c r="L429" s="34">
        <v>4</v>
      </c>
      <c r="M429" s="34">
        <v>21</v>
      </c>
      <c r="N429" s="26"/>
    </row>
    <row r="430" spans="1:14">
      <c r="A430" s="26">
        <v>112204</v>
      </c>
      <c r="B430" s="27" t="s">
        <v>509</v>
      </c>
      <c r="C430" s="26" t="s">
        <v>49</v>
      </c>
      <c r="D430" s="27" t="s">
        <v>255</v>
      </c>
      <c r="G430" s="28">
        <v>4000</v>
      </c>
      <c r="H430" s="26">
        <v>0</v>
      </c>
      <c r="I430" s="26">
        <v>20</v>
      </c>
      <c r="J430" s="36">
        <v>1</v>
      </c>
      <c r="K430" s="34">
        <v>2014</v>
      </c>
      <c r="L430" s="34">
        <v>4</v>
      </c>
      <c r="M430" s="34">
        <v>21</v>
      </c>
      <c r="N430" s="26"/>
    </row>
    <row r="431" spans="1:14">
      <c r="A431" s="26">
        <v>500102</v>
      </c>
      <c r="B431" s="27" t="s">
        <v>510</v>
      </c>
      <c r="C431" s="26" t="s">
        <v>157</v>
      </c>
      <c r="D431" s="27" t="s">
        <v>159</v>
      </c>
      <c r="G431" s="28">
        <v>0</v>
      </c>
      <c r="H431" s="26">
        <v>4000</v>
      </c>
      <c r="I431" s="26">
        <v>20</v>
      </c>
      <c r="J431" s="36">
        <v>1</v>
      </c>
      <c r="K431" s="34">
        <v>2014</v>
      </c>
      <c r="L431" s="34">
        <v>4</v>
      </c>
      <c r="M431" s="34">
        <v>21</v>
      </c>
      <c r="N431" s="26"/>
    </row>
    <row r="432" spans="1:14">
      <c r="A432" s="26">
        <v>500102</v>
      </c>
      <c r="B432" s="27" t="s">
        <v>511</v>
      </c>
      <c r="C432" s="26" t="s">
        <v>157</v>
      </c>
      <c r="D432" s="27" t="s">
        <v>159</v>
      </c>
      <c r="G432" s="28">
        <v>0</v>
      </c>
      <c r="H432" s="26">
        <v>1800</v>
      </c>
      <c r="I432" s="26">
        <v>21</v>
      </c>
      <c r="J432" s="36">
        <v>1</v>
      </c>
      <c r="K432" s="34">
        <v>2014</v>
      </c>
      <c r="L432" s="34">
        <v>4</v>
      </c>
      <c r="M432" s="34">
        <v>21</v>
      </c>
      <c r="N432" s="26"/>
    </row>
    <row r="433" spans="1:14">
      <c r="A433" s="26">
        <v>112204</v>
      </c>
      <c r="B433" s="27" t="s">
        <v>512</v>
      </c>
      <c r="C433" s="26" t="s">
        <v>49</v>
      </c>
      <c r="D433" s="27" t="s">
        <v>255</v>
      </c>
      <c r="G433" s="28">
        <v>1800</v>
      </c>
      <c r="H433" s="26">
        <v>0</v>
      </c>
      <c r="I433" s="26">
        <v>21</v>
      </c>
      <c r="J433" s="36">
        <v>1</v>
      </c>
      <c r="K433" s="34">
        <v>2014</v>
      </c>
      <c r="L433" s="34">
        <v>4</v>
      </c>
      <c r="M433" s="34">
        <v>21</v>
      </c>
      <c r="N433" s="26"/>
    </row>
    <row r="434" spans="1:14">
      <c r="A434" s="26">
        <v>100201</v>
      </c>
      <c r="B434" s="27" t="s">
        <v>513</v>
      </c>
      <c r="C434" s="26" t="s">
        <v>47</v>
      </c>
      <c r="D434" s="27" t="s">
        <v>48</v>
      </c>
      <c r="G434" s="28">
        <v>0</v>
      </c>
      <c r="H434" s="26">
        <v>360</v>
      </c>
      <c r="I434" s="26">
        <v>22</v>
      </c>
      <c r="J434" s="36">
        <v>1</v>
      </c>
      <c r="K434" s="34">
        <v>2014</v>
      </c>
      <c r="L434" s="34">
        <v>4</v>
      </c>
      <c r="M434" s="34">
        <v>21</v>
      </c>
      <c r="N434" s="26"/>
    </row>
    <row r="435" spans="1:14">
      <c r="A435" s="26">
        <v>122105</v>
      </c>
      <c r="B435" s="27" t="s">
        <v>514</v>
      </c>
      <c r="C435" s="26" t="s">
        <v>78</v>
      </c>
      <c r="D435" s="27" t="s">
        <v>83</v>
      </c>
      <c r="G435" s="28">
        <v>360</v>
      </c>
      <c r="H435" s="26">
        <v>0</v>
      </c>
      <c r="I435" s="26">
        <v>22</v>
      </c>
      <c r="J435" s="36">
        <v>1</v>
      </c>
      <c r="K435" s="34">
        <v>2014</v>
      </c>
      <c r="L435" s="34">
        <v>4</v>
      </c>
      <c r="M435" s="34">
        <v>21</v>
      </c>
      <c r="N435" s="26"/>
    </row>
    <row r="436" spans="1:14">
      <c r="A436" s="26">
        <v>100201</v>
      </c>
      <c r="B436" s="27" t="s">
        <v>515</v>
      </c>
      <c r="C436" s="26" t="s">
        <v>47</v>
      </c>
      <c r="D436" s="27" t="s">
        <v>48</v>
      </c>
      <c r="G436" s="28">
        <v>0</v>
      </c>
      <c r="H436" s="26">
        <v>85000</v>
      </c>
      <c r="I436" s="26">
        <v>23</v>
      </c>
      <c r="J436" s="36">
        <v>2</v>
      </c>
      <c r="K436" s="34">
        <v>2014</v>
      </c>
      <c r="L436" s="34">
        <v>4</v>
      </c>
      <c r="M436" s="34">
        <v>23</v>
      </c>
      <c r="N436" s="26"/>
    </row>
    <row r="437" spans="1:14">
      <c r="A437" s="26">
        <v>112311</v>
      </c>
      <c r="B437" s="27" t="s">
        <v>484</v>
      </c>
      <c r="C437" s="26" t="s">
        <v>64</v>
      </c>
      <c r="D437" s="27" t="s">
        <v>70</v>
      </c>
      <c r="G437" s="28">
        <v>85000</v>
      </c>
      <c r="H437" s="26">
        <v>0</v>
      </c>
      <c r="I437" s="26">
        <v>23</v>
      </c>
      <c r="J437" s="36">
        <v>2</v>
      </c>
      <c r="K437" s="34">
        <v>2014</v>
      </c>
      <c r="L437" s="34">
        <v>4</v>
      </c>
      <c r="M437" s="34">
        <v>23</v>
      </c>
      <c r="N437" s="26"/>
    </row>
    <row r="438" spans="1:14">
      <c r="A438" s="26">
        <v>112312</v>
      </c>
      <c r="B438" s="27" t="s">
        <v>516</v>
      </c>
      <c r="C438" s="26" t="s">
        <v>64</v>
      </c>
      <c r="D438" s="27" t="s">
        <v>71</v>
      </c>
      <c r="G438" s="28">
        <v>0</v>
      </c>
      <c r="H438" s="26">
        <v>142000</v>
      </c>
      <c r="I438" s="26">
        <v>24</v>
      </c>
      <c r="J438" s="36">
        <v>0</v>
      </c>
      <c r="K438" s="34">
        <v>2014</v>
      </c>
      <c r="L438" s="34">
        <v>4</v>
      </c>
      <c r="M438" s="34">
        <v>23</v>
      </c>
      <c r="N438" s="26"/>
    </row>
    <row r="439" spans="1:14">
      <c r="A439" s="26">
        <v>112310</v>
      </c>
      <c r="B439" s="27" t="s">
        <v>516</v>
      </c>
      <c r="C439" s="26" t="s">
        <v>64</v>
      </c>
      <c r="D439" s="27" t="s">
        <v>69</v>
      </c>
      <c r="G439" s="28">
        <v>142000</v>
      </c>
      <c r="H439" s="26">
        <v>0</v>
      </c>
      <c r="I439" s="26">
        <v>24</v>
      </c>
      <c r="J439" s="36">
        <v>0</v>
      </c>
      <c r="K439" s="34">
        <v>2014</v>
      </c>
      <c r="L439" s="34">
        <v>4</v>
      </c>
      <c r="M439" s="34">
        <v>23</v>
      </c>
      <c r="N439" s="26"/>
    </row>
    <row r="440" spans="1:14">
      <c r="A440" s="26">
        <v>112312</v>
      </c>
      <c r="B440" s="27" t="s">
        <v>517</v>
      </c>
      <c r="C440" s="26" t="s">
        <v>64</v>
      </c>
      <c r="D440" s="27" t="s">
        <v>71</v>
      </c>
      <c r="G440" s="28">
        <v>0</v>
      </c>
      <c r="H440" s="26">
        <v>13500</v>
      </c>
      <c r="I440" s="26">
        <v>25</v>
      </c>
      <c r="J440" s="36">
        <v>0</v>
      </c>
      <c r="K440" s="34">
        <v>2014</v>
      </c>
      <c r="L440" s="34">
        <v>4</v>
      </c>
      <c r="M440" s="34">
        <v>23</v>
      </c>
      <c r="N440" s="26"/>
    </row>
    <row r="441" spans="1:14">
      <c r="A441" s="26">
        <v>112310</v>
      </c>
      <c r="B441" s="27" t="s">
        <v>517</v>
      </c>
      <c r="C441" s="26" t="s">
        <v>64</v>
      </c>
      <c r="D441" s="27" t="s">
        <v>69</v>
      </c>
      <c r="G441" s="28">
        <v>13500</v>
      </c>
      <c r="H441" s="26">
        <v>0</v>
      </c>
      <c r="I441" s="26">
        <v>25</v>
      </c>
      <c r="J441" s="36">
        <v>0</v>
      </c>
      <c r="K441" s="34">
        <v>2014</v>
      </c>
      <c r="L441" s="34">
        <v>4</v>
      </c>
      <c r="M441" s="34">
        <v>23</v>
      </c>
      <c r="N441" s="26"/>
    </row>
    <row r="442" spans="1:14">
      <c r="A442" s="26">
        <v>112311</v>
      </c>
      <c r="B442" s="27" t="s">
        <v>518</v>
      </c>
      <c r="C442" s="26" t="s">
        <v>64</v>
      </c>
      <c r="D442" s="27" t="s">
        <v>70</v>
      </c>
      <c r="G442" s="28">
        <v>0</v>
      </c>
      <c r="H442" s="26">
        <v>301000</v>
      </c>
      <c r="I442" s="26">
        <v>26</v>
      </c>
      <c r="J442" s="36">
        <v>0</v>
      </c>
      <c r="K442" s="34">
        <v>2014</v>
      </c>
      <c r="L442" s="34">
        <v>4</v>
      </c>
      <c r="M442" s="34">
        <v>23</v>
      </c>
      <c r="N442" s="26"/>
    </row>
    <row r="443" spans="1:14">
      <c r="A443" s="26">
        <v>112310</v>
      </c>
      <c r="B443" s="27" t="s">
        <v>518</v>
      </c>
      <c r="C443" s="26" t="s">
        <v>64</v>
      </c>
      <c r="D443" s="27" t="s">
        <v>69</v>
      </c>
      <c r="G443" s="28">
        <v>301000</v>
      </c>
      <c r="H443" s="26">
        <v>0</v>
      </c>
      <c r="I443" s="26">
        <v>26</v>
      </c>
      <c r="J443" s="36">
        <v>0</v>
      </c>
      <c r="K443" s="34">
        <v>2014</v>
      </c>
      <c r="L443" s="34">
        <v>4</v>
      </c>
      <c r="M443" s="34">
        <v>23</v>
      </c>
      <c r="N443" s="26"/>
    </row>
    <row r="444" spans="1:14">
      <c r="A444" s="26">
        <v>560201</v>
      </c>
      <c r="B444" s="27" t="s">
        <v>519</v>
      </c>
      <c r="C444" s="26" t="s">
        <v>166</v>
      </c>
      <c r="D444" s="27" t="s">
        <v>167</v>
      </c>
      <c r="G444" s="28">
        <v>13500</v>
      </c>
      <c r="H444" s="26">
        <v>0</v>
      </c>
      <c r="I444" s="26">
        <v>27</v>
      </c>
      <c r="J444" s="36">
        <v>1</v>
      </c>
      <c r="K444" s="34">
        <v>2014</v>
      </c>
      <c r="L444" s="34">
        <v>4</v>
      </c>
      <c r="M444" s="34">
        <v>23</v>
      </c>
      <c r="N444" s="26"/>
    </row>
    <row r="445" spans="1:14">
      <c r="A445" s="26">
        <v>560203</v>
      </c>
      <c r="B445" s="27" t="s">
        <v>519</v>
      </c>
      <c r="C445" s="26" t="s">
        <v>166</v>
      </c>
      <c r="D445" s="27" t="s">
        <v>169</v>
      </c>
      <c r="G445" s="28">
        <v>370</v>
      </c>
      <c r="H445" s="26">
        <v>0</v>
      </c>
      <c r="I445" s="26">
        <v>27</v>
      </c>
      <c r="J445" s="36">
        <v>1</v>
      </c>
      <c r="K445" s="34">
        <v>2014</v>
      </c>
      <c r="L445" s="34">
        <v>4</v>
      </c>
      <c r="M445" s="34">
        <v>23</v>
      </c>
      <c r="N445" s="26"/>
    </row>
    <row r="446" spans="1:14">
      <c r="A446" s="26">
        <v>560210</v>
      </c>
      <c r="B446" s="27" t="s">
        <v>519</v>
      </c>
      <c r="C446" s="26" t="s">
        <v>166</v>
      </c>
      <c r="D446" s="27" t="s">
        <v>176</v>
      </c>
      <c r="G446" s="28">
        <v>2012.52</v>
      </c>
      <c r="H446" s="26">
        <v>0</v>
      </c>
      <c r="I446" s="26">
        <v>27</v>
      </c>
      <c r="J446" s="36">
        <v>1</v>
      </c>
      <c r="K446" s="34">
        <v>2014</v>
      </c>
      <c r="L446" s="34">
        <v>4</v>
      </c>
      <c r="M446" s="34">
        <v>23</v>
      </c>
      <c r="N446" s="26"/>
    </row>
    <row r="447" spans="1:14">
      <c r="A447" s="26">
        <v>221102</v>
      </c>
      <c r="B447" s="27" t="s">
        <v>519</v>
      </c>
      <c r="C447" s="26" t="s">
        <v>113</v>
      </c>
      <c r="D447" s="27" t="s">
        <v>115</v>
      </c>
      <c r="G447" s="28">
        <v>0</v>
      </c>
      <c r="H447" s="26">
        <v>370</v>
      </c>
      <c r="I447" s="26">
        <v>27</v>
      </c>
      <c r="J447" s="36">
        <v>1</v>
      </c>
      <c r="K447" s="34">
        <v>2014</v>
      </c>
      <c r="L447" s="34">
        <v>4</v>
      </c>
      <c r="M447" s="34">
        <v>23</v>
      </c>
      <c r="N447" s="26"/>
    </row>
    <row r="448" spans="1:14">
      <c r="A448" s="26">
        <v>221104</v>
      </c>
      <c r="B448" s="27" t="s">
        <v>519</v>
      </c>
      <c r="C448" s="26" t="s">
        <v>113</v>
      </c>
      <c r="D448" s="27" t="s">
        <v>117</v>
      </c>
      <c r="G448" s="28">
        <v>0</v>
      </c>
      <c r="H448" s="26">
        <v>2012.52</v>
      </c>
      <c r="I448" s="26">
        <v>27</v>
      </c>
      <c r="J448" s="36">
        <v>1</v>
      </c>
      <c r="K448" s="34">
        <v>2014</v>
      </c>
      <c r="L448" s="34">
        <v>4</v>
      </c>
      <c r="M448" s="34">
        <v>23</v>
      </c>
      <c r="N448" s="26"/>
    </row>
    <row r="449" spans="1:14">
      <c r="A449" s="26">
        <v>221101</v>
      </c>
      <c r="B449" s="27" t="s">
        <v>519</v>
      </c>
      <c r="C449" s="26" t="s">
        <v>113</v>
      </c>
      <c r="D449" s="27" t="s">
        <v>114</v>
      </c>
      <c r="G449" s="28">
        <v>0</v>
      </c>
      <c r="H449" s="26">
        <v>13500</v>
      </c>
      <c r="I449" s="26">
        <v>27</v>
      </c>
      <c r="J449" s="36">
        <v>1</v>
      </c>
      <c r="K449" s="34">
        <v>2014</v>
      </c>
      <c r="L449" s="34">
        <v>4</v>
      </c>
      <c r="M449" s="34">
        <v>23</v>
      </c>
      <c r="N449" s="26"/>
    </row>
    <row r="450" spans="1:14">
      <c r="A450" s="26">
        <v>440106</v>
      </c>
      <c r="B450" s="27" t="s">
        <v>520</v>
      </c>
      <c r="C450" s="26" t="s">
        <v>149</v>
      </c>
      <c r="D450" s="27" t="s">
        <v>354</v>
      </c>
      <c r="G450" s="28">
        <v>62700</v>
      </c>
      <c r="H450" s="26">
        <v>0</v>
      </c>
      <c r="I450" s="26">
        <v>28</v>
      </c>
      <c r="J450" s="36">
        <v>1</v>
      </c>
      <c r="K450" s="34">
        <v>2014</v>
      </c>
      <c r="L450" s="34">
        <v>4</v>
      </c>
      <c r="M450" s="34">
        <v>23</v>
      </c>
      <c r="N450" s="26"/>
    </row>
    <row r="451" spans="1:14">
      <c r="A451" s="26">
        <v>221101</v>
      </c>
      <c r="B451" s="27" t="s">
        <v>521</v>
      </c>
      <c r="C451" s="26" t="s">
        <v>113</v>
      </c>
      <c r="D451" s="27" t="s">
        <v>114</v>
      </c>
      <c r="G451" s="28">
        <v>0</v>
      </c>
      <c r="H451" s="26">
        <v>55000</v>
      </c>
      <c r="I451" s="26">
        <v>28</v>
      </c>
      <c r="J451" s="36">
        <v>1</v>
      </c>
      <c r="K451" s="34">
        <v>2014</v>
      </c>
      <c r="L451" s="34">
        <v>4</v>
      </c>
      <c r="M451" s="34">
        <v>23</v>
      </c>
      <c r="N451" s="26"/>
    </row>
    <row r="452" spans="1:14">
      <c r="A452" s="26">
        <v>221103</v>
      </c>
      <c r="B452" s="27" t="s">
        <v>522</v>
      </c>
      <c r="C452" s="26" t="s">
        <v>113</v>
      </c>
      <c r="D452" s="27" t="s">
        <v>116</v>
      </c>
      <c r="G452" s="28">
        <v>0</v>
      </c>
      <c r="H452" s="26">
        <v>7700</v>
      </c>
      <c r="I452" s="26">
        <v>28</v>
      </c>
      <c r="J452" s="36">
        <v>1</v>
      </c>
      <c r="K452" s="34">
        <v>2014</v>
      </c>
      <c r="L452" s="34">
        <v>4</v>
      </c>
      <c r="M452" s="34">
        <v>23</v>
      </c>
      <c r="N452" s="26"/>
    </row>
    <row r="453" spans="1:14">
      <c r="A453" s="26">
        <v>560209</v>
      </c>
      <c r="B453" s="27" t="s">
        <v>523</v>
      </c>
      <c r="C453" s="26" t="s">
        <v>166</v>
      </c>
      <c r="D453" s="27" t="s">
        <v>524</v>
      </c>
      <c r="G453" s="28">
        <v>1890</v>
      </c>
      <c r="H453" s="26">
        <v>0</v>
      </c>
      <c r="I453" s="26">
        <v>29</v>
      </c>
      <c r="J453" s="36">
        <v>1</v>
      </c>
      <c r="K453" s="34">
        <v>2014</v>
      </c>
      <c r="L453" s="34">
        <v>4</v>
      </c>
      <c r="M453" s="34">
        <v>23</v>
      </c>
      <c r="N453" s="26"/>
    </row>
    <row r="454" spans="1:14">
      <c r="A454" s="26">
        <v>221103</v>
      </c>
      <c r="B454" s="27" t="s">
        <v>523</v>
      </c>
      <c r="C454" s="26" t="s">
        <v>113</v>
      </c>
      <c r="D454" s="27" t="s">
        <v>116</v>
      </c>
      <c r="G454" s="28">
        <v>0</v>
      </c>
      <c r="H454" s="26">
        <v>1890</v>
      </c>
      <c r="I454" s="26">
        <v>29</v>
      </c>
      <c r="J454" s="36">
        <v>1</v>
      </c>
      <c r="K454" s="34">
        <v>2014</v>
      </c>
      <c r="L454" s="34">
        <v>4</v>
      </c>
      <c r="M454" s="34">
        <v>23</v>
      </c>
      <c r="N454" s="26"/>
    </row>
    <row r="455" spans="1:14">
      <c r="A455" s="26">
        <v>300103</v>
      </c>
      <c r="B455" s="27" t="s">
        <v>525</v>
      </c>
      <c r="C455" s="26" t="s">
        <v>144</v>
      </c>
      <c r="D455" s="27" t="s">
        <v>81</v>
      </c>
      <c r="G455" s="28">
        <v>300000</v>
      </c>
      <c r="H455" s="26">
        <v>0</v>
      </c>
      <c r="I455" s="26">
        <v>30</v>
      </c>
      <c r="J455" s="36">
        <v>1</v>
      </c>
      <c r="K455" s="34">
        <v>2014</v>
      </c>
      <c r="L455" s="34">
        <v>4</v>
      </c>
      <c r="M455" s="34">
        <v>23</v>
      </c>
      <c r="N455" s="26"/>
    </row>
    <row r="456" spans="1:14">
      <c r="A456" s="26">
        <v>300104</v>
      </c>
      <c r="B456" s="27" t="s">
        <v>525</v>
      </c>
      <c r="C456" s="26" t="s">
        <v>144</v>
      </c>
      <c r="D456" s="27" t="s">
        <v>79</v>
      </c>
      <c r="G456" s="28">
        <v>300000</v>
      </c>
      <c r="H456" s="26">
        <v>0</v>
      </c>
      <c r="I456" s="26">
        <v>30</v>
      </c>
      <c r="J456" s="36">
        <v>1</v>
      </c>
      <c r="K456" s="34">
        <v>2014</v>
      </c>
      <c r="L456" s="34">
        <v>4</v>
      </c>
      <c r="M456" s="34">
        <v>23</v>
      </c>
      <c r="N456" s="26"/>
    </row>
    <row r="457" spans="1:14">
      <c r="A457" s="26">
        <v>300101</v>
      </c>
      <c r="B457" s="27" t="s">
        <v>526</v>
      </c>
      <c r="C457" s="26" t="s">
        <v>144</v>
      </c>
      <c r="D457" s="27" t="s">
        <v>12</v>
      </c>
      <c r="G457" s="28">
        <v>0</v>
      </c>
      <c r="H457" s="26">
        <v>600000</v>
      </c>
      <c r="I457" s="26">
        <v>30</v>
      </c>
      <c r="J457" s="36">
        <v>1</v>
      </c>
      <c r="K457" s="34">
        <v>2014</v>
      </c>
      <c r="L457" s="34">
        <v>4</v>
      </c>
      <c r="M457" s="34">
        <v>23</v>
      </c>
      <c r="N457" s="26"/>
    </row>
    <row r="458" spans="1:14">
      <c r="A458" s="26">
        <v>122101</v>
      </c>
      <c r="B458" s="27" t="s">
        <v>527</v>
      </c>
      <c r="C458" s="26" t="s">
        <v>78</v>
      </c>
      <c r="D458" s="27" t="s">
        <v>79</v>
      </c>
      <c r="G458" s="28">
        <v>0</v>
      </c>
      <c r="H458" s="26">
        <v>300000</v>
      </c>
      <c r="I458" s="26">
        <v>31</v>
      </c>
      <c r="J458" s="36">
        <v>0</v>
      </c>
      <c r="K458" s="34">
        <v>2014</v>
      </c>
      <c r="L458" s="34">
        <v>4</v>
      </c>
      <c r="M458" s="34">
        <v>23</v>
      </c>
      <c r="N458" s="26"/>
    </row>
    <row r="459" spans="1:14">
      <c r="A459" s="26">
        <v>122103</v>
      </c>
      <c r="B459" s="27" t="s">
        <v>527</v>
      </c>
      <c r="C459" s="26" t="s">
        <v>78</v>
      </c>
      <c r="D459" s="27" t="s">
        <v>81</v>
      </c>
      <c r="G459" s="28">
        <v>0</v>
      </c>
      <c r="H459" s="26">
        <v>300000</v>
      </c>
      <c r="I459" s="26">
        <v>31</v>
      </c>
      <c r="J459" s="36">
        <v>0</v>
      </c>
      <c r="K459" s="34">
        <v>2014</v>
      </c>
      <c r="L459" s="34">
        <v>4</v>
      </c>
      <c r="M459" s="34">
        <v>23</v>
      </c>
      <c r="N459" s="26"/>
    </row>
    <row r="460" spans="1:14">
      <c r="A460" s="26">
        <v>224101</v>
      </c>
      <c r="B460" s="27" t="s">
        <v>528</v>
      </c>
      <c r="C460" s="26" t="s">
        <v>140</v>
      </c>
      <c r="D460" s="27" t="s">
        <v>12</v>
      </c>
      <c r="G460" s="28">
        <v>600000</v>
      </c>
      <c r="H460" s="26">
        <v>0</v>
      </c>
      <c r="I460" s="26">
        <v>31</v>
      </c>
      <c r="J460" s="36">
        <v>0</v>
      </c>
      <c r="K460" s="34">
        <v>2014</v>
      </c>
      <c r="L460" s="34">
        <v>4</v>
      </c>
      <c r="M460" s="34">
        <v>23</v>
      </c>
      <c r="N460" s="26"/>
    </row>
    <row r="461" spans="1:14">
      <c r="A461" s="26">
        <v>112204</v>
      </c>
      <c r="B461" s="27" t="s">
        <v>529</v>
      </c>
      <c r="C461" s="26" t="s">
        <v>49</v>
      </c>
      <c r="D461" s="27" t="s">
        <v>255</v>
      </c>
      <c r="G461" s="28">
        <v>0</v>
      </c>
      <c r="H461" s="26">
        <v>1800</v>
      </c>
      <c r="I461" s="26">
        <v>32</v>
      </c>
      <c r="J461" s="36">
        <v>1</v>
      </c>
      <c r="K461" s="34">
        <v>2014</v>
      </c>
      <c r="L461" s="34">
        <v>4</v>
      </c>
      <c r="M461" s="34">
        <v>23</v>
      </c>
      <c r="N461" s="26"/>
    </row>
    <row r="462" spans="1:14">
      <c r="A462" s="26">
        <v>100201</v>
      </c>
      <c r="B462" s="27" t="s">
        <v>530</v>
      </c>
      <c r="C462" s="26" t="s">
        <v>47</v>
      </c>
      <c r="D462" s="27" t="s">
        <v>48</v>
      </c>
      <c r="G462" s="28">
        <v>1800</v>
      </c>
      <c r="H462" s="26">
        <v>0</v>
      </c>
      <c r="I462" s="26">
        <v>32</v>
      </c>
      <c r="J462" s="36">
        <v>1</v>
      </c>
      <c r="K462" s="34">
        <v>2014</v>
      </c>
      <c r="L462" s="34">
        <v>4</v>
      </c>
      <c r="M462" s="34">
        <v>23</v>
      </c>
      <c r="N462" s="26"/>
    </row>
    <row r="463" spans="1:14">
      <c r="A463" s="26">
        <v>112204</v>
      </c>
      <c r="B463" s="27" t="s">
        <v>531</v>
      </c>
      <c r="C463" s="26" t="s">
        <v>49</v>
      </c>
      <c r="D463" s="27" t="s">
        <v>255</v>
      </c>
      <c r="G463" s="28">
        <v>0</v>
      </c>
      <c r="H463" s="26">
        <v>4000</v>
      </c>
      <c r="I463" s="26">
        <v>33</v>
      </c>
      <c r="J463" s="36">
        <v>1</v>
      </c>
      <c r="K463" s="34">
        <v>2014</v>
      </c>
      <c r="L463" s="34">
        <v>4</v>
      </c>
      <c r="M463" s="34">
        <v>23</v>
      </c>
      <c r="N463" s="26"/>
    </row>
    <row r="464" spans="1:14">
      <c r="A464" s="26">
        <v>100201</v>
      </c>
      <c r="B464" s="27" t="s">
        <v>531</v>
      </c>
      <c r="C464" s="26" t="s">
        <v>47</v>
      </c>
      <c r="D464" s="27" t="s">
        <v>48</v>
      </c>
      <c r="G464" s="28">
        <v>4000</v>
      </c>
      <c r="H464" s="26">
        <v>0</v>
      </c>
      <c r="I464" s="26">
        <v>33</v>
      </c>
      <c r="J464" s="36">
        <v>1</v>
      </c>
      <c r="K464" s="34">
        <v>2014</v>
      </c>
      <c r="L464" s="34">
        <v>4</v>
      </c>
      <c r="M464" s="34">
        <v>23</v>
      </c>
      <c r="N464" s="26"/>
    </row>
    <row r="465" spans="1:14">
      <c r="A465" s="26">
        <v>560301</v>
      </c>
      <c r="B465" s="27" t="s">
        <v>178</v>
      </c>
      <c r="C465" s="26" t="s">
        <v>177</v>
      </c>
      <c r="D465" s="27" t="s">
        <v>199</v>
      </c>
      <c r="G465" s="28">
        <v>2.5</v>
      </c>
      <c r="H465" s="26">
        <v>0</v>
      </c>
      <c r="I465" s="26">
        <v>34</v>
      </c>
      <c r="J465" s="36">
        <v>1</v>
      </c>
      <c r="K465" s="34">
        <v>2014</v>
      </c>
      <c r="L465" s="34">
        <v>4</v>
      </c>
      <c r="M465" s="34">
        <v>23</v>
      </c>
      <c r="N465" s="26"/>
    </row>
    <row r="466" spans="1:14">
      <c r="A466" s="26">
        <v>100201</v>
      </c>
      <c r="B466" s="27" t="s">
        <v>532</v>
      </c>
      <c r="C466" s="26" t="s">
        <v>47</v>
      </c>
      <c r="D466" s="27" t="s">
        <v>48</v>
      </c>
      <c r="G466" s="28">
        <v>0</v>
      </c>
      <c r="H466" s="26">
        <v>2.5</v>
      </c>
      <c r="I466" s="26">
        <v>34</v>
      </c>
      <c r="J466" s="36">
        <v>1</v>
      </c>
      <c r="K466" s="34">
        <v>2014</v>
      </c>
      <c r="L466" s="34">
        <v>4</v>
      </c>
      <c r="M466" s="34">
        <v>23</v>
      </c>
      <c r="N466" s="26"/>
    </row>
    <row r="467" spans="1:14">
      <c r="A467" s="26">
        <v>112204</v>
      </c>
      <c r="B467" s="27" t="s">
        <v>533</v>
      </c>
      <c r="C467" s="26" t="s">
        <v>49</v>
      </c>
      <c r="D467" s="27" t="s">
        <v>255</v>
      </c>
      <c r="G467" s="28">
        <v>0</v>
      </c>
      <c r="H467" s="26">
        <v>4500</v>
      </c>
      <c r="I467" s="26">
        <v>35</v>
      </c>
      <c r="J467" s="36">
        <v>1</v>
      </c>
      <c r="K467" s="34">
        <v>2014</v>
      </c>
      <c r="L467" s="34">
        <v>4</v>
      </c>
      <c r="M467" s="34">
        <v>23</v>
      </c>
      <c r="N467" s="26"/>
    </row>
    <row r="468" spans="1:14">
      <c r="A468" s="26">
        <v>100201</v>
      </c>
      <c r="B468" s="27" t="s">
        <v>533</v>
      </c>
      <c r="C468" s="26" t="s">
        <v>47</v>
      </c>
      <c r="D468" s="27" t="s">
        <v>48</v>
      </c>
      <c r="G468" s="28">
        <v>4500</v>
      </c>
      <c r="H468" s="26">
        <v>0</v>
      </c>
      <c r="I468" s="26">
        <v>35</v>
      </c>
      <c r="J468" s="36">
        <v>1</v>
      </c>
      <c r="K468" s="34">
        <v>2014</v>
      </c>
      <c r="L468" s="34">
        <v>4</v>
      </c>
      <c r="M468" s="34">
        <v>23</v>
      </c>
      <c r="N468" s="26"/>
    </row>
    <row r="469" spans="1:14">
      <c r="A469" s="26">
        <v>112204</v>
      </c>
      <c r="B469" s="27" t="s">
        <v>534</v>
      </c>
      <c r="C469" s="26" t="s">
        <v>49</v>
      </c>
      <c r="D469" s="27" t="s">
        <v>255</v>
      </c>
      <c r="G469" s="28">
        <v>0</v>
      </c>
      <c r="H469" s="26">
        <v>23500</v>
      </c>
      <c r="I469" s="26">
        <v>36</v>
      </c>
      <c r="J469" s="36">
        <v>1</v>
      </c>
      <c r="K469" s="34">
        <v>2014</v>
      </c>
      <c r="L469" s="34">
        <v>4</v>
      </c>
      <c r="M469" s="34">
        <v>23</v>
      </c>
      <c r="N469" s="26"/>
    </row>
    <row r="470" spans="1:14">
      <c r="A470" s="26">
        <v>100201</v>
      </c>
      <c r="B470" s="27" t="s">
        <v>535</v>
      </c>
      <c r="C470" s="26" t="s">
        <v>47</v>
      </c>
      <c r="D470" s="27" t="s">
        <v>48</v>
      </c>
      <c r="G470" s="28">
        <v>23500</v>
      </c>
      <c r="H470" s="26">
        <v>0</v>
      </c>
      <c r="I470" s="26">
        <v>36</v>
      </c>
      <c r="J470" s="36">
        <v>1</v>
      </c>
      <c r="K470" s="34">
        <v>2014</v>
      </c>
      <c r="L470" s="34">
        <v>4</v>
      </c>
      <c r="M470" s="34">
        <v>23</v>
      </c>
      <c r="N470" s="26"/>
    </row>
    <row r="471" spans="1:14">
      <c r="A471" s="26">
        <v>100101</v>
      </c>
      <c r="B471" s="27" t="s">
        <v>536</v>
      </c>
      <c r="C471" s="26" t="s">
        <v>46</v>
      </c>
      <c r="D471" s="27" t="s">
        <v>199</v>
      </c>
      <c r="G471" s="28">
        <v>22000</v>
      </c>
      <c r="H471" s="26">
        <v>0</v>
      </c>
      <c r="I471" s="26">
        <v>37</v>
      </c>
      <c r="J471" s="36">
        <v>1</v>
      </c>
      <c r="K471" s="34">
        <v>2014</v>
      </c>
      <c r="L471" s="34">
        <v>4</v>
      </c>
      <c r="M471" s="34">
        <v>23</v>
      </c>
      <c r="N471" s="26"/>
    </row>
    <row r="472" spans="1:14">
      <c r="A472" s="26">
        <v>100201</v>
      </c>
      <c r="B472" s="27" t="s">
        <v>537</v>
      </c>
      <c r="C472" s="26" t="s">
        <v>47</v>
      </c>
      <c r="D472" s="27" t="s">
        <v>48</v>
      </c>
      <c r="G472" s="28">
        <v>0</v>
      </c>
      <c r="H472" s="26">
        <v>22000</v>
      </c>
      <c r="I472" s="26">
        <v>37</v>
      </c>
      <c r="J472" s="36">
        <v>1</v>
      </c>
      <c r="K472" s="34">
        <v>2014</v>
      </c>
      <c r="L472" s="34">
        <v>4</v>
      </c>
      <c r="M472" s="34">
        <v>23</v>
      </c>
      <c r="N472" s="26"/>
    </row>
    <row r="473" spans="1:14">
      <c r="A473" s="26">
        <v>560203</v>
      </c>
      <c r="B473" s="27" t="s">
        <v>538</v>
      </c>
      <c r="C473" s="26" t="s">
        <v>166</v>
      </c>
      <c r="D473" s="27" t="s">
        <v>169</v>
      </c>
      <c r="G473" s="28">
        <v>150</v>
      </c>
      <c r="H473" s="26">
        <v>0</v>
      </c>
      <c r="I473" s="26">
        <v>38</v>
      </c>
      <c r="J473" s="36">
        <v>8</v>
      </c>
      <c r="K473" s="34">
        <v>2014</v>
      </c>
      <c r="L473" s="34">
        <v>4</v>
      </c>
      <c r="M473" s="34">
        <v>23</v>
      </c>
      <c r="N473" s="26"/>
    </row>
    <row r="474" spans="1:14">
      <c r="A474" s="26">
        <v>560206</v>
      </c>
      <c r="B474" s="27" t="s">
        <v>539</v>
      </c>
      <c r="C474" s="26" t="s">
        <v>166</v>
      </c>
      <c r="D474" s="27" t="s">
        <v>172</v>
      </c>
      <c r="G474" s="28">
        <v>295.8</v>
      </c>
      <c r="H474" s="26">
        <v>0</v>
      </c>
      <c r="I474" s="26">
        <v>38</v>
      </c>
      <c r="J474" s="36">
        <v>8</v>
      </c>
      <c r="K474" s="34">
        <v>2014</v>
      </c>
      <c r="L474" s="34">
        <v>4</v>
      </c>
      <c r="M474" s="34">
        <v>23</v>
      </c>
      <c r="N474" s="26"/>
    </row>
    <row r="475" spans="1:14">
      <c r="A475" s="26">
        <v>221103</v>
      </c>
      <c r="B475" s="27" t="s">
        <v>216</v>
      </c>
      <c r="C475" s="26" t="s">
        <v>113</v>
      </c>
      <c r="D475" s="27" t="s">
        <v>116</v>
      </c>
      <c r="G475" s="28">
        <v>675</v>
      </c>
      <c r="H475" s="26">
        <v>0</v>
      </c>
      <c r="I475" s="26">
        <v>38</v>
      </c>
      <c r="J475" s="36">
        <v>8</v>
      </c>
      <c r="K475" s="34">
        <v>2014</v>
      </c>
      <c r="L475" s="34">
        <v>4</v>
      </c>
      <c r="M475" s="34">
        <v>23</v>
      </c>
      <c r="N475" s="26"/>
    </row>
    <row r="476" spans="1:14">
      <c r="A476" s="26">
        <v>560207</v>
      </c>
      <c r="B476" s="27" t="s">
        <v>540</v>
      </c>
      <c r="C476" s="26" t="s">
        <v>166</v>
      </c>
      <c r="D476" s="27" t="s">
        <v>173</v>
      </c>
      <c r="G476" s="28">
        <v>358</v>
      </c>
      <c r="H476" s="26">
        <v>0</v>
      </c>
      <c r="I476" s="26">
        <v>38</v>
      </c>
      <c r="J476" s="36">
        <v>8</v>
      </c>
      <c r="K476" s="34">
        <v>2014</v>
      </c>
      <c r="L476" s="34">
        <v>4</v>
      </c>
      <c r="M476" s="34">
        <v>23</v>
      </c>
      <c r="N476" s="26"/>
    </row>
    <row r="477" spans="1:14">
      <c r="A477" s="26">
        <v>100101</v>
      </c>
      <c r="B477" s="27" t="s">
        <v>541</v>
      </c>
      <c r="C477" s="26" t="s">
        <v>46</v>
      </c>
      <c r="D477" s="27" t="s">
        <v>199</v>
      </c>
      <c r="G477" s="28">
        <v>0</v>
      </c>
      <c r="H477" s="26">
        <v>1478.8</v>
      </c>
      <c r="I477" s="26">
        <v>38</v>
      </c>
      <c r="J477" s="36">
        <v>8</v>
      </c>
      <c r="K477" s="34">
        <v>2014</v>
      </c>
      <c r="L477" s="34">
        <v>4</v>
      </c>
      <c r="M477" s="34">
        <v>23</v>
      </c>
      <c r="N477" s="26"/>
    </row>
    <row r="478" spans="1:14">
      <c r="A478" s="26">
        <v>112312</v>
      </c>
      <c r="B478" s="27" t="s">
        <v>421</v>
      </c>
      <c r="C478" s="26" t="s">
        <v>64</v>
      </c>
      <c r="D478" s="27" t="s">
        <v>71</v>
      </c>
      <c r="G478" s="28">
        <v>4800</v>
      </c>
      <c r="H478" s="26">
        <v>0</v>
      </c>
      <c r="I478" s="26">
        <v>39</v>
      </c>
      <c r="J478" s="36">
        <v>1</v>
      </c>
      <c r="K478" s="34">
        <v>2014</v>
      </c>
      <c r="L478" s="34">
        <v>4</v>
      </c>
      <c r="M478" s="34">
        <v>23</v>
      </c>
      <c r="N478" s="26"/>
    </row>
    <row r="479" spans="1:14">
      <c r="A479" s="26">
        <v>112312</v>
      </c>
      <c r="B479" s="27" t="s">
        <v>542</v>
      </c>
      <c r="C479" s="26" t="s">
        <v>64</v>
      </c>
      <c r="D479" s="27" t="s">
        <v>71</v>
      </c>
      <c r="G479" s="28">
        <v>200</v>
      </c>
      <c r="H479" s="26">
        <v>0</v>
      </c>
      <c r="I479" s="26">
        <v>39</v>
      </c>
      <c r="J479" s="36">
        <v>1</v>
      </c>
      <c r="K479" s="34">
        <v>2014</v>
      </c>
      <c r="L479" s="34">
        <v>4</v>
      </c>
      <c r="M479" s="34">
        <v>23</v>
      </c>
      <c r="N479" s="26"/>
    </row>
    <row r="480" spans="1:14">
      <c r="A480" s="26">
        <v>100101</v>
      </c>
      <c r="B480" s="27" t="s">
        <v>542</v>
      </c>
      <c r="C480" s="26" t="s">
        <v>46</v>
      </c>
      <c r="D480" s="27" t="s">
        <v>199</v>
      </c>
      <c r="G480" s="28">
        <v>0</v>
      </c>
      <c r="H480" s="26">
        <v>5000</v>
      </c>
      <c r="I480" s="26">
        <v>39</v>
      </c>
      <c r="J480" s="36">
        <v>1</v>
      </c>
      <c r="K480" s="34">
        <v>2014</v>
      </c>
      <c r="L480" s="34">
        <v>4</v>
      </c>
      <c r="M480" s="34">
        <v>23</v>
      </c>
      <c r="N480" s="26"/>
    </row>
    <row r="481" spans="1:14">
      <c r="A481" s="26">
        <v>221101</v>
      </c>
      <c r="B481" s="27" t="s">
        <v>543</v>
      </c>
      <c r="C481" s="26" t="s">
        <v>113</v>
      </c>
      <c r="D481" s="27" t="s">
        <v>114</v>
      </c>
      <c r="G481" s="28">
        <v>14000</v>
      </c>
      <c r="H481" s="26">
        <v>0</v>
      </c>
      <c r="I481" s="26">
        <v>40</v>
      </c>
      <c r="J481" s="36">
        <v>1</v>
      </c>
      <c r="K481" s="34">
        <v>2014</v>
      </c>
      <c r="L481" s="34">
        <v>4</v>
      </c>
      <c r="M481" s="34">
        <v>23</v>
      </c>
      <c r="N481" s="26"/>
    </row>
    <row r="482" spans="1:14">
      <c r="A482" s="26">
        <v>221102</v>
      </c>
      <c r="B482" s="27" t="s">
        <v>544</v>
      </c>
      <c r="C482" s="26" t="s">
        <v>113</v>
      </c>
      <c r="D482" s="27" t="s">
        <v>115</v>
      </c>
      <c r="G482" s="28">
        <v>370</v>
      </c>
      <c r="H482" s="26">
        <v>0</v>
      </c>
      <c r="I482" s="26">
        <v>40</v>
      </c>
      <c r="J482" s="36">
        <v>1</v>
      </c>
      <c r="K482" s="34">
        <v>2014</v>
      </c>
      <c r="L482" s="34">
        <v>4</v>
      </c>
      <c r="M482" s="34">
        <v>23</v>
      </c>
      <c r="N482" s="26"/>
    </row>
    <row r="483" spans="1:14">
      <c r="A483" s="26">
        <v>221104</v>
      </c>
      <c r="B483" s="27" t="s">
        <v>545</v>
      </c>
      <c r="C483" s="26" t="s">
        <v>113</v>
      </c>
      <c r="D483" s="27" t="s">
        <v>117</v>
      </c>
      <c r="G483" s="28">
        <v>0</v>
      </c>
      <c r="H483" s="26">
        <v>748.65</v>
      </c>
      <c r="I483" s="26">
        <v>40</v>
      </c>
      <c r="J483" s="36">
        <v>1</v>
      </c>
      <c r="K483" s="34">
        <v>2014</v>
      </c>
      <c r="L483" s="34">
        <v>4</v>
      </c>
      <c r="M483" s="34">
        <v>23</v>
      </c>
      <c r="N483" s="26"/>
    </row>
    <row r="484" spans="1:14">
      <c r="A484" s="26">
        <v>100101</v>
      </c>
      <c r="B484" s="27" t="s">
        <v>546</v>
      </c>
      <c r="C484" s="26" t="s">
        <v>46</v>
      </c>
      <c r="D484" s="27" t="s">
        <v>199</v>
      </c>
      <c r="G484" s="28">
        <v>0</v>
      </c>
      <c r="H484" s="26">
        <v>13621.35</v>
      </c>
      <c r="I484" s="26">
        <v>40</v>
      </c>
      <c r="J484" s="36">
        <v>1</v>
      </c>
      <c r="K484" s="34">
        <v>2014</v>
      </c>
      <c r="L484" s="34">
        <v>4</v>
      </c>
      <c r="M484" s="34">
        <v>23</v>
      </c>
      <c r="N484" s="26"/>
    </row>
    <row r="485" spans="1:14">
      <c r="A485" s="26">
        <v>122105</v>
      </c>
      <c r="B485" s="27" t="s">
        <v>547</v>
      </c>
      <c r="C485" s="26" t="s">
        <v>78</v>
      </c>
      <c r="D485" s="27" t="s">
        <v>83</v>
      </c>
      <c r="G485" s="28">
        <v>4500</v>
      </c>
      <c r="H485" s="26">
        <v>0</v>
      </c>
      <c r="I485" s="26">
        <v>41</v>
      </c>
      <c r="J485" s="36">
        <v>2</v>
      </c>
      <c r="K485" s="34">
        <v>2014</v>
      </c>
      <c r="L485" s="34">
        <v>4</v>
      </c>
      <c r="M485" s="34">
        <v>23</v>
      </c>
      <c r="N485" s="26"/>
    </row>
    <row r="486" spans="1:14">
      <c r="A486" s="26">
        <v>100101</v>
      </c>
      <c r="B486" s="27" t="s">
        <v>548</v>
      </c>
      <c r="C486" s="26" t="s">
        <v>46</v>
      </c>
      <c r="D486" s="27" t="s">
        <v>199</v>
      </c>
      <c r="G486" s="28">
        <v>0</v>
      </c>
      <c r="H486" s="26">
        <v>4500</v>
      </c>
      <c r="I486" s="26">
        <v>41</v>
      </c>
      <c r="J486" s="36">
        <v>2</v>
      </c>
      <c r="K486" s="34">
        <v>2014</v>
      </c>
      <c r="L486" s="34">
        <v>4</v>
      </c>
      <c r="M486" s="34">
        <v>23</v>
      </c>
      <c r="N486" s="26"/>
    </row>
    <row r="487" spans="1:14">
      <c r="A487" s="26">
        <v>560202</v>
      </c>
      <c r="B487" s="27" t="s">
        <v>549</v>
      </c>
      <c r="C487" s="26" t="s">
        <v>166</v>
      </c>
      <c r="D487" s="27" t="s">
        <v>168</v>
      </c>
      <c r="G487" s="28">
        <v>518</v>
      </c>
      <c r="H487" s="26">
        <v>0</v>
      </c>
      <c r="I487" s="26">
        <v>42</v>
      </c>
      <c r="J487" s="36">
        <v>1</v>
      </c>
      <c r="K487" s="34">
        <v>2014</v>
      </c>
      <c r="L487" s="34">
        <v>4</v>
      </c>
      <c r="M487" s="34">
        <v>23</v>
      </c>
      <c r="N487" s="26"/>
    </row>
    <row r="488" spans="1:14">
      <c r="A488" s="26">
        <v>160201</v>
      </c>
      <c r="B488" s="27" t="s">
        <v>550</v>
      </c>
      <c r="C488" s="26" t="s">
        <v>99</v>
      </c>
      <c r="D488" s="27" t="s">
        <v>92</v>
      </c>
      <c r="G488" s="28">
        <v>0</v>
      </c>
      <c r="H488" s="26">
        <v>89</v>
      </c>
      <c r="I488" s="26">
        <v>42</v>
      </c>
      <c r="J488" s="36">
        <v>1</v>
      </c>
      <c r="K488" s="34">
        <v>2014</v>
      </c>
      <c r="L488" s="34">
        <v>4</v>
      </c>
      <c r="M488" s="34">
        <v>23</v>
      </c>
      <c r="N488" s="26"/>
    </row>
    <row r="489" spans="1:14">
      <c r="A489" s="26">
        <v>160202</v>
      </c>
      <c r="B489" s="27" t="s">
        <v>550</v>
      </c>
      <c r="C489" s="26" t="s">
        <v>99</v>
      </c>
      <c r="D489" s="27" t="s">
        <v>93</v>
      </c>
      <c r="G489" s="28">
        <v>0</v>
      </c>
      <c r="H489" s="26">
        <v>122</v>
      </c>
      <c r="I489" s="26">
        <v>42</v>
      </c>
      <c r="J489" s="36">
        <v>1</v>
      </c>
      <c r="K489" s="34">
        <v>2014</v>
      </c>
      <c r="L489" s="34">
        <v>4</v>
      </c>
      <c r="M489" s="34">
        <v>23</v>
      </c>
      <c r="N489" s="26"/>
    </row>
    <row r="490" spans="1:14">
      <c r="A490" s="26">
        <v>160203</v>
      </c>
      <c r="B490" s="27" t="s">
        <v>550</v>
      </c>
      <c r="C490" s="26" t="s">
        <v>99</v>
      </c>
      <c r="D490" s="27" t="s">
        <v>94</v>
      </c>
      <c r="G490" s="28">
        <v>0</v>
      </c>
      <c r="H490" s="26">
        <v>107</v>
      </c>
      <c r="I490" s="26">
        <v>42</v>
      </c>
      <c r="J490" s="36">
        <v>1</v>
      </c>
      <c r="K490" s="34">
        <v>2014</v>
      </c>
      <c r="L490" s="34">
        <v>4</v>
      </c>
      <c r="M490" s="34">
        <v>23</v>
      </c>
      <c r="N490" s="26"/>
    </row>
    <row r="491" spans="1:14">
      <c r="A491" s="26">
        <v>160204</v>
      </c>
      <c r="B491" s="27" t="s">
        <v>550</v>
      </c>
      <c r="C491" s="26" t="s">
        <v>99</v>
      </c>
      <c r="D491" s="27" t="s">
        <v>95</v>
      </c>
      <c r="G491" s="28">
        <v>0</v>
      </c>
      <c r="H491" s="26">
        <v>58</v>
      </c>
      <c r="I491" s="26">
        <v>42</v>
      </c>
      <c r="J491" s="36">
        <v>1</v>
      </c>
      <c r="K491" s="34">
        <v>2014</v>
      </c>
      <c r="L491" s="34">
        <v>4</v>
      </c>
      <c r="M491" s="34">
        <v>23</v>
      </c>
      <c r="N491" s="26"/>
    </row>
    <row r="492" spans="1:14">
      <c r="A492" s="26">
        <v>160205</v>
      </c>
      <c r="B492" s="27" t="s">
        <v>550</v>
      </c>
      <c r="C492" s="26" t="s">
        <v>99</v>
      </c>
      <c r="D492" s="27" t="s">
        <v>96</v>
      </c>
      <c r="G492" s="28">
        <v>0</v>
      </c>
      <c r="H492" s="26">
        <v>69</v>
      </c>
      <c r="I492" s="26">
        <v>42</v>
      </c>
      <c r="J492" s="36">
        <v>1</v>
      </c>
      <c r="K492" s="34">
        <v>2014</v>
      </c>
      <c r="L492" s="34">
        <v>4</v>
      </c>
      <c r="M492" s="34">
        <v>23</v>
      </c>
      <c r="N492" s="26"/>
    </row>
    <row r="493" spans="1:14">
      <c r="A493" s="26">
        <v>160206</v>
      </c>
      <c r="B493" s="27" t="s">
        <v>550</v>
      </c>
      <c r="C493" s="26" t="s">
        <v>99</v>
      </c>
      <c r="D493" s="27" t="s">
        <v>97</v>
      </c>
      <c r="G493" s="28">
        <v>0</v>
      </c>
      <c r="H493" s="26">
        <v>73</v>
      </c>
      <c r="I493" s="26">
        <v>42</v>
      </c>
      <c r="J493" s="36">
        <v>1</v>
      </c>
      <c r="K493" s="34">
        <v>2014</v>
      </c>
      <c r="L493" s="34">
        <v>4</v>
      </c>
      <c r="M493" s="34">
        <v>23</v>
      </c>
      <c r="N493" s="26"/>
    </row>
    <row r="494" spans="1:14">
      <c r="A494" s="26">
        <v>540301</v>
      </c>
      <c r="B494" s="27" t="s">
        <v>551</v>
      </c>
      <c r="C494" s="26" t="s">
        <v>165</v>
      </c>
      <c r="D494" s="27" t="s">
        <v>129</v>
      </c>
      <c r="G494" s="28">
        <v>136.85</v>
      </c>
      <c r="H494" s="26">
        <v>0</v>
      </c>
      <c r="I494" s="26">
        <v>43</v>
      </c>
      <c r="J494" s="36">
        <v>1</v>
      </c>
      <c r="K494" s="34">
        <v>2014</v>
      </c>
      <c r="L494" s="34">
        <v>4</v>
      </c>
      <c r="M494" s="34">
        <v>23</v>
      </c>
      <c r="N494" s="26"/>
    </row>
    <row r="495" spans="1:14">
      <c r="A495" s="26">
        <v>540302</v>
      </c>
      <c r="B495" s="27" t="s">
        <v>551</v>
      </c>
      <c r="C495" s="26" t="s">
        <v>165</v>
      </c>
      <c r="D495" s="27" t="s">
        <v>130</v>
      </c>
      <c r="G495" s="28">
        <v>97.75</v>
      </c>
      <c r="H495" s="26">
        <v>0</v>
      </c>
      <c r="I495" s="26">
        <v>43</v>
      </c>
      <c r="J495" s="36">
        <v>1</v>
      </c>
      <c r="K495" s="34">
        <v>2014</v>
      </c>
      <c r="L495" s="34">
        <v>4</v>
      </c>
      <c r="M495" s="34">
        <v>23</v>
      </c>
      <c r="N495" s="26"/>
    </row>
    <row r="496" spans="1:14">
      <c r="A496" s="26">
        <v>540303</v>
      </c>
      <c r="B496" s="27" t="s">
        <v>551</v>
      </c>
      <c r="C496" s="26" t="s">
        <v>165</v>
      </c>
      <c r="D496" s="27" t="s">
        <v>131</v>
      </c>
      <c r="G496" s="28">
        <v>11.8</v>
      </c>
      <c r="H496" s="26">
        <v>0</v>
      </c>
      <c r="I496" s="26">
        <v>43</v>
      </c>
      <c r="J496" s="36">
        <v>1</v>
      </c>
      <c r="K496" s="34">
        <v>2014</v>
      </c>
      <c r="L496" s="34">
        <v>4</v>
      </c>
      <c r="M496" s="34">
        <v>23</v>
      </c>
      <c r="N496" s="26"/>
    </row>
    <row r="497" spans="1:14">
      <c r="A497" s="26">
        <v>540304</v>
      </c>
      <c r="B497" s="27" t="s">
        <v>551</v>
      </c>
      <c r="C497" s="26" t="s">
        <v>165</v>
      </c>
      <c r="D497" s="27" t="s">
        <v>128</v>
      </c>
      <c r="G497" s="28">
        <v>1955</v>
      </c>
      <c r="H497" s="26">
        <v>0</v>
      </c>
      <c r="I497" s="26">
        <v>43</v>
      </c>
      <c r="J497" s="36">
        <v>1</v>
      </c>
      <c r="K497" s="34">
        <v>2014</v>
      </c>
      <c r="L497" s="34">
        <v>4</v>
      </c>
      <c r="M497" s="34">
        <v>23</v>
      </c>
      <c r="N497" s="26"/>
    </row>
    <row r="498" spans="1:14">
      <c r="A498" s="26">
        <v>560206</v>
      </c>
      <c r="B498" s="27" t="s">
        <v>551</v>
      </c>
      <c r="C498" s="26" t="s">
        <v>166</v>
      </c>
      <c r="D498" s="27" t="s">
        <v>172</v>
      </c>
      <c r="G498" s="28">
        <v>39.4</v>
      </c>
      <c r="H498" s="26">
        <v>0</v>
      </c>
      <c r="I498" s="26">
        <v>43</v>
      </c>
      <c r="J498" s="36">
        <v>1</v>
      </c>
      <c r="K498" s="34">
        <v>2014</v>
      </c>
      <c r="L498" s="34">
        <v>4</v>
      </c>
      <c r="M498" s="34">
        <v>23</v>
      </c>
      <c r="N498" s="26"/>
    </row>
    <row r="499" spans="1:14">
      <c r="A499" s="26">
        <v>222102</v>
      </c>
      <c r="B499" s="27" t="s">
        <v>551</v>
      </c>
      <c r="C499" s="26" t="s">
        <v>126</v>
      </c>
      <c r="D499" s="27" t="s">
        <v>128</v>
      </c>
      <c r="G499" s="28">
        <v>0</v>
      </c>
      <c r="H499" s="26">
        <v>1955</v>
      </c>
      <c r="I499" s="26">
        <v>43</v>
      </c>
      <c r="J499" s="36">
        <v>1</v>
      </c>
      <c r="K499" s="34">
        <v>2014</v>
      </c>
      <c r="L499" s="34">
        <v>4</v>
      </c>
      <c r="M499" s="34">
        <v>23</v>
      </c>
      <c r="N499" s="26"/>
    </row>
    <row r="500" spans="1:14">
      <c r="A500" s="26">
        <v>222103</v>
      </c>
      <c r="B500" s="27" t="s">
        <v>551</v>
      </c>
      <c r="C500" s="26" t="s">
        <v>126</v>
      </c>
      <c r="D500" s="27" t="s">
        <v>129</v>
      </c>
      <c r="G500" s="28">
        <v>0</v>
      </c>
      <c r="H500" s="26">
        <v>136.85</v>
      </c>
      <c r="I500" s="26">
        <v>43</v>
      </c>
      <c r="J500" s="36">
        <v>1</v>
      </c>
      <c r="K500" s="34">
        <v>2014</v>
      </c>
      <c r="L500" s="34">
        <v>4</v>
      </c>
      <c r="M500" s="34">
        <v>23</v>
      </c>
      <c r="N500" s="26"/>
    </row>
    <row r="501" spans="1:14">
      <c r="A501" s="26">
        <v>222104</v>
      </c>
      <c r="B501" s="27" t="s">
        <v>551</v>
      </c>
      <c r="C501" s="26" t="s">
        <v>126</v>
      </c>
      <c r="D501" s="27" t="s">
        <v>130</v>
      </c>
      <c r="G501" s="28">
        <v>0</v>
      </c>
      <c r="H501" s="26">
        <v>97.75</v>
      </c>
      <c r="I501" s="26">
        <v>43</v>
      </c>
      <c r="J501" s="36">
        <v>1</v>
      </c>
      <c r="K501" s="34">
        <v>2014</v>
      </c>
      <c r="L501" s="34">
        <v>4</v>
      </c>
      <c r="M501" s="34">
        <v>23</v>
      </c>
      <c r="N501" s="26"/>
    </row>
    <row r="502" spans="1:14">
      <c r="A502" s="26">
        <v>222105</v>
      </c>
      <c r="B502" s="27" t="s">
        <v>551</v>
      </c>
      <c r="C502" s="26" t="s">
        <v>126</v>
      </c>
      <c r="D502" s="27" t="s">
        <v>131</v>
      </c>
      <c r="G502" s="28">
        <v>0</v>
      </c>
      <c r="H502" s="26">
        <v>11.8</v>
      </c>
      <c r="I502" s="26">
        <v>43</v>
      </c>
      <c r="J502" s="36">
        <v>1</v>
      </c>
      <c r="K502" s="34">
        <v>2014</v>
      </c>
      <c r="L502" s="34">
        <v>4</v>
      </c>
      <c r="M502" s="34">
        <v>23</v>
      </c>
      <c r="N502" s="26"/>
    </row>
    <row r="503" spans="1:14">
      <c r="A503" s="26">
        <v>224104</v>
      </c>
      <c r="B503" s="27" t="s">
        <v>551</v>
      </c>
      <c r="C503" s="26" t="s">
        <v>140</v>
      </c>
      <c r="D503" s="27" t="s">
        <v>142</v>
      </c>
      <c r="G503" s="28">
        <v>0</v>
      </c>
      <c r="H503" s="26">
        <v>39.4</v>
      </c>
      <c r="I503" s="26">
        <v>43</v>
      </c>
      <c r="J503" s="36">
        <v>1</v>
      </c>
      <c r="K503" s="34">
        <v>2014</v>
      </c>
      <c r="L503" s="34">
        <v>4</v>
      </c>
      <c r="M503" s="34">
        <v>23</v>
      </c>
      <c r="N503" s="26"/>
    </row>
    <row r="504" spans="1:14">
      <c r="A504" s="26">
        <v>177701</v>
      </c>
      <c r="B504" s="27" t="s">
        <v>552</v>
      </c>
      <c r="C504" s="26" t="s">
        <v>100</v>
      </c>
      <c r="D504" s="27" t="s">
        <v>199</v>
      </c>
      <c r="G504" s="28">
        <v>0</v>
      </c>
      <c r="H504" s="26">
        <v>0.5</v>
      </c>
      <c r="I504" s="26">
        <v>44</v>
      </c>
      <c r="J504" s="36">
        <v>0</v>
      </c>
      <c r="K504" s="34">
        <v>2014</v>
      </c>
      <c r="L504" s="34">
        <v>4</v>
      </c>
      <c r="M504" s="34">
        <v>30</v>
      </c>
      <c r="N504" s="26"/>
    </row>
    <row r="505" spans="1:14">
      <c r="A505" s="26">
        <v>560205</v>
      </c>
      <c r="B505" s="27" t="s">
        <v>552</v>
      </c>
      <c r="C505" s="26" t="s">
        <v>166</v>
      </c>
      <c r="D505" s="27" t="s">
        <v>171</v>
      </c>
      <c r="G505" s="28">
        <v>0.5</v>
      </c>
      <c r="H505" s="26">
        <v>0</v>
      </c>
      <c r="I505" s="26">
        <v>44</v>
      </c>
      <c r="J505" s="36">
        <v>0</v>
      </c>
      <c r="K505" s="34">
        <v>2014</v>
      </c>
      <c r="L505" s="34">
        <v>4</v>
      </c>
      <c r="M505" s="34">
        <v>30</v>
      </c>
      <c r="N505" s="26"/>
    </row>
    <row r="506" spans="1:14">
      <c r="A506" s="26">
        <v>140501</v>
      </c>
      <c r="B506" s="27" t="s">
        <v>553</v>
      </c>
      <c r="C506" s="26" t="s">
        <v>89</v>
      </c>
      <c r="D506" s="27" t="s">
        <v>199</v>
      </c>
      <c r="G506" s="28">
        <v>0</v>
      </c>
      <c r="H506" s="26">
        <v>187</v>
      </c>
      <c r="I506" s="26">
        <v>45</v>
      </c>
      <c r="J506" s="36">
        <v>1</v>
      </c>
      <c r="K506" s="34">
        <v>2014</v>
      </c>
      <c r="L506" s="34">
        <v>4</v>
      </c>
      <c r="M506" s="34">
        <v>30</v>
      </c>
      <c r="N506" s="26"/>
    </row>
    <row r="507" spans="1:14">
      <c r="A507" s="26">
        <v>540101</v>
      </c>
      <c r="B507" s="27" t="s">
        <v>553</v>
      </c>
      <c r="C507" s="26" t="s">
        <v>161</v>
      </c>
      <c r="D507" s="27" t="s">
        <v>162</v>
      </c>
      <c r="G507" s="28">
        <v>187</v>
      </c>
      <c r="H507" s="26">
        <v>0</v>
      </c>
      <c r="I507" s="26">
        <v>45</v>
      </c>
      <c r="J507" s="36">
        <v>1</v>
      </c>
      <c r="K507" s="34">
        <v>2014</v>
      </c>
      <c r="L507" s="34">
        <v>4</v>
      </c>
      <c r="M507" s="34">
        <v>30</v>
      </c>
      <c r="N507" s="26"/>
    </row>
    <row r="508" spans="1:14">
      <c r="A508" s="26">
        <v>221101</v>
      </c>
      <c r="B508" s="27" t="s">
        <v>554</v>
      </c>
      <c r="C508" s="26" t="s">
        <v>113</v>
      </c>
      <c r="D508" s="27" t="s">
        <v>114</v>
      </c>
      <c r="G508" s="28">
        <v>220000</v>
      </c>
      <c r="H508" s="26">
        <v>0</v>
      </c>
      <c r="I508" s="26">
        <v>46</v>
      </c>
      <c r="J508" s="36">
        <v>1</v>
      </c>
      <c r="K508" s="34">
        <v>2014</v>
      </c>
      <c r="L508" s="34">
        <v>4</v>
      </c>
      <c r="M508" s="34">
        <v>30</v>
      </c>
      <c r="N508" s="26"/>
    </row>
    <row r="509" spans="1:14">
      <c r="A509" s="26">
        <v>112310</v>
      </c>
      <c r="B509" s="27" t="s">
        <v>554</v>
      </c>
      <c r="C509" s="26" t="s">
        <v>64</v>
      </c>
      <c r="D509" s="27" t="s">
        <v>69</v>
      </c>
      <c r="G509" s="28">
        <v>0</v>
      </c>
      <c r="H509" s="26">
        <v>220000</v>
      </c>
      <c r="I509" s="26">
        <v>46</v>
      </c>
      <c r="J509" s="36">
        <v>1</v>
      </c>
      <c r="K509" s="34">
        <v>2014</v>
      </c>
      <c r="L509" s="34">
        <v>4</v>
      </c>
      <c r="M509" s="34">
        <v>30</v>
      </c>
      <c r="N509" s="26"/>
    </row>
    <row r="510" spans="1:14">
      <c r="A510" s="26">
        <v>122105</v>
      </c>
      <c r="B510" s="27" t="s">
        <v>555</v>
      </c>
      <c r="C510" s="26" t="s">
        <v>78</v>
      </c>
      <c r="D510" s="27" t="s">
        <v>83</v>
      </c>
      <c r="G510" s="28">
        <v>70</v>
      </c>
      <c r="H510" s="26">
        <v>0</v>
      </c>
      <c r="I510" s="26">
        <v>47</v>
      </c>
      <c r="J510" s="36">
        <v>1</v>
      </c>
      <c r="K510" s="34">
        <v>2014</v>
      </c>
      <c r="L510" s="34">
        <v>4</v>
      </c>
      <c r="M510" s="34">
        <v>30</v>
      </c>
      <c r="N510" s="26"/>
    </row>
    <row r="511" spans="1:14">
      <c r="A511" s="26">
        <v>100201</v>
      </c>
      <c r="B511" s="27" t="s">
        <v>556</v>
      </c>
      <c r="C511" s="26" t="s">
        <v>47</v>
      </c>
      <c r="D511" s="27" t="s">
        <v>48</v>
      </c>
      <c r="G511" s="28">
        <v>0</v>
      </c>
      <c r="H511" s="26">
        <v>70</v>
      </c>
      <c r="I511" s="26">
        <v>47</v>
      </c>
      <c r="J511" s="36">
        <v>1</v>
      </c>
      <c r="K511" s="34">
        <v>2014</v>
      </c>
      <c r="L511" s="34">
        <v>4</v>
      </c>
      <c r="M511" s="34">
        <v>30</v>
      </c>
      <c r="N511" s="26"/>
    </row>
    <row r="512" spans="1:14">
      <c r="A512" s="26">
        <v>560301</v>
      </c>
      <c r="B512" s="27" t="s">
        <v>557</v>
      </c>
      <c r="C512" s="26" t="s">
        <v>177</v>
      </c>
      <c r="D512" s="27" t="s">
        <v>199</v>
      </c>
      <c r="G512" s="28">
        <v>5.5</v>
      </c>
      <c r="H512" s="26">
        <v>0</v>
      </c>
      <c r="I512" s="26">
        <v>48</v>
      </c>
      <c r="J512" s="36">
        <v>1</v>
      </c>
      <c r="K512" s="34">
        <v>2014</v>
      </c>
      <c r="L512" s="34">
        <v>4</v>
      </c>
      <c r="M512" s="34">
        <v>30</v>
      </c>
      <c r="N512" s="26"/>
    </row>
    <row r="513" spans="1:14">
      <c r="A513" s="26">
        <v>100201</v>
      </c>
      <c r="B513" s="27" t="s">
        <v>558</v>
      </c>
      <c r="C513" s="26" t="s">
        <v>47</v>
      </c>
      <c r="D513" s="27" t="s">
        <v>48</v>
      </c>
      <c r="G513" s="28">
        <v>0</v>
      </c>
      <c r="H513" s="26">
        <v>5.5</v>
      </c>
      <c r="I513" s="26">
        <v>48</v>
      </c>
      <c r="J513" s="36">
        <v>1</v>
      </c>
      <c r="K513" s="34">
        <v>2014</v>
      </c>
      <c r="L513" s="34">
        <v>4</v>
      </c>
      <c r="M513" s="34">
        <v>30</v>
      </c>
      <c r="N513" s="26"/>
    </row>
    <row r="514" spans="1:14">
      <c r="A514" s="26">
        <v>560209</v>
      </c>
      <c r="B514" s="27" t="s">
        <v>559</v>
      </c>
      <c r="C514" s="26" t="s">
        <v>166</v>
      </c>
      <c r="D514" s="27" t="s">
        <v>524</v>
      </c>
      <c r="G514" s="28">
        <v>-38360</v>
      </c>
      <c r="H514" s="26">
        <v>0</v>
      </c>
      <c r="I514" s="26">
        <v>49</v>
      </c>
      <c r="J514" s="36">
        <v>0</v>
      </c>
      <c r="K514" s="34">
        <v>2014</v>
      </c>
      <c r="L514" s="34">
        <v>4</v>
      </c>
      <c r="M514" s="34">
        <v>30</v>
      </c>
      <c r="N514" s="26"/>
    </row>
    <row r="515" spans="1:14">
      <c r="A515" s="26">
        <v>221103</v>
      </c>
      <c r="B515" s="27" t="s">
        <v>560</v>
      </c>
      <c r="C515" s="26" t="s">
        <v>113</v>
      </c>
      <c r="D515" s="27" t="s">
        <v>116</v>
      </c>
      <c r="G515" s="28">
        <v>0</v>
      </c>
      <c r="H515" s="26">
        <v>-38360</v>
      </c>
      <c r="I515" s="26">
        <v>49</v>
      </c>
      <c r="J515" s="36">
        <v>0</v>
      </c>
      <c r="K515" s="34">
        <v>2014</v>
      </c>
      <c r="L515" s="34">
        <v>4</v>
      </c>
      <c r="M515" s="34">
        <v>30</v>
      </c>
      <c r="N515" s="26"/>
    </row>
    <row r="516" spans="1:14">
      <c r="A516" s="26">
        <v>222102</v>
      </c>
      <c r="B516" s="27" t="s">
        <v>561</v>
      </c>
      <c r="C516" s="26" t="s">
        <v>126</v>
      </c>
      <c r="D516" s="27" t="s">
        <v>128</v>
      </c>
      <c r="G516" s="28">
        <v>1955</v>
      </c>
      <c r="H516" s="26">
        <v>0</v>
      </c>
      <c r="I516" s="26">
        <v>1</v>
      </c>
      <c r="J516" s="36">
        <v>1</v>
      </c>
      <c r="K516" s="34">
        <v>2014</v>
      </c>
      <c r="L516" s="34">
        <v>5</v>
      </c>
      <c r="M516" s="34">
        <v>20</v>
      </c>
      <c r="N516" s="26"/>
    </row>
    <row r="517" spans="1:14">
      <c r="A517" s="26">
        <v>222103</v>
      </c>
      <c r="B517" s="27" t="s">
        <v>561</v>
      </c>
      <c r="C517" s="26" t="s">
        <v>126</v>
      </c>
      <c r="D517" s="27" t="s">
        <v>129</v>
      </c>
      <c r="G517" s="28">
        <v>136.85</v>
      </c>
      <c r="H517" s="26">
        <v>0</v>
      </c>
      <c r="I517" s="26">
        <v>1</v>
      </c>
      <c r="J517" s="36">
        <v>1</v>
      </c>
      <c r="K517" s="34">
        <v>2014</v>
      </c>
      <c r="L517" s="34">
        <v>5</v>
      </c>
      <c r="M517" s="34">
        <v>20</v>
      </c>
      <c r="N517" s="26"/>
    </row>
    <row r="518" spans="1:14">
      <c r="A518" s="26">
        <v>222104</v>
      </c>
      <c r="B518" s="27" t="s">
        <v>561</v>
      </c>
      <c r="C518" s="26" t="s">
        <v>126</v>
      </c>
      <c r="D518" s="27" t="s">
        <v>130</v>
      </c>
      <c r="G518" s="28">
        <v>97.75</v>
      </c>
      <c r="H518" s="26">
        <v>0</v>
      </c>
      <c r="I518" s="26">
        <v>1</v>
      </c>
      <c r="J518" s="36">
        <v>1</v>
      </c>
      <c r="K518" s="34">
        <v>2014</v>
      </c>
      <c r="L518" s="34">
        <v>5</v>
      </c>
      <c r="M518" s="34">
        <v>20</v>
      </c>
      <c r="N518" s="26"/>
    </row>
    <row r="519" spans="1:14">
      <c r="A519" s="26">
        <v>100201</v>
      </c>
      <c r="B519" s="27" t="s">
        <v>562</v>
      </c>
      <c r="C519" s="26" t="s">
        <v>47</v>
      </c>
      <c r="D519" s="27" t="s">
        <v>48</v>
      </c>
      <c r="G519" s="28">
        <v>0</v>
      </c>
      <c r="H519" s="26">
        <v>2189.6</v>
      </c>
      <c r="I519" s="26">
        <v>1</v>
      </c>
      <c r="J519" s="36">
        <v>1</v>
      </c>
      <c r="K519" s="34">
        <v>2014</v>
      </c>
      <c r="L519" s="34">
        <v>5</v>
      </c>
      <c r="M519" s="34">
        <v>20</v>
      </c>
      <c r="N519" s="26"/>
    </row>
    <row r="520" spans="1:14">
      <c r="A520" s="26">
        <v>224104</v>
      </c>
      <c r="B520" s="27" t="s">
        <v>563</v>
      </c>
      <c r="C520" s="26" t="s">
        <v>140</v>
      </c>
      <c r="D520" s="27" t="s">
        <v>142</v>
      </c>
      <c r="G520" s="28">
        <v>39.4</v>
      </c>
      <c r="H520" s="26">
        <v>0</v>
      </c>
      <c r="I520" s="26">
        <v>2</v>
      </c>
      <c r="J520" s="36">
        <v>1</v>
      </c>
      <c r="K520" s="34">
        <v>2014</v>
      </c>
      <c r="L520" s="34">
        <v>5</v>
      </c>
      <c r="M520" s="34">
        <v>20</v>
      </c>
      <c r="N520" s="26"/>
    </row>
    <row r="521" spans="1:14">
      <c r="A521" s="26">
        <v>560206</v>
      </c>
      <c r="B521" s="27" t="s">
        <v>564</v>
      </c>
      <c r="C521" s="26" t="s">
        <v>166</v>
      </c>
      <c r="D521" s="27" t="s">
        <v>172</v>
      </c>
      <c r="G521" s="28">
        <v>75</v>
      </c>
      <c r="H521" s="26">
        <v>0</v>
      </c>
      <c r="I521" s="26">
        <v>2</v>
      </c>
      <c r="J521" s="36">
        <v>1</v>
      </c>
      <c r="K521" s="34">
        <v>2014</v>
      </c>
      <c r="L521" s="34">
        <v>5</v>
      </c>
      <c r="M521" s="34">
        <v>20</v>
      </c>
      <c r="N521" s="26"/>
    </row>
    <row r="522" spans="1:14">
      <c r="A522" s="26">
        <v>100201</v>
      </c>
      <c r="B522" s="27" t="s">
        <v>565</v>
      </c>
      <c r="C522" s="26" t="s">
        <v>47</v>
      </c>
      <c r="D522" s="27" t="s">
        <v>48</v>
      </c>
      <c r="G522" s="28">
        <v>0</v>
      </c>
      <c r="H522" s="26">
        <v>114.4</v>
      </c>
      <c r="I522" s="26">
        <v>2</v>
      </c>
      <c r="J522" s="36">
        <v>1</v>
      </c>
      <c r="K522" s="34">
        <v>2014</v>
      </c>
      <c r="L522" s="34">
        <v>5</v>
      </c>
      <c r="M522" s="34">
        <v>20</v>
      </c>
      <c r="N522" s="26"/>
    </row>
    <row r="523" spans="1:14">
      <c r="A523" s="26">
        <v>222105</v>
      </c>
      <c r="B523" s="27" t="s">
        <v>563</v>
      </c>
      <c r="C523" s="26" t="s">
        <v>126</v>
      </c>
      <c r="D523" s="27" t="s">
        <v>131</v>
      </c>
      <c r="G523" s="28">
        <v>11.8</v>
      </c>
      <c r="H523" s="26">
        <v>0</v>
      </c>
      <c r="I523" s="26">
        <v>3</v>
      </c>
      <c r="J523" s="36">
        <v>1</v>
      </c>
      <c r="K523" s="34">
        <v>2014</v>
      </c>
      <c r="L523" s="34">
        <v>5</v>
      </c>
      <c r="M523" s="34">
        <v>20</v>
      </c>
      <c r="N523" s="26"/>
    </row>
    <row r="524" spans="1:14">
      <c r="A524" s="26">
        <v>100201</v>
      </c>
      <c r="B524" s="27" t="s">
        <v>566</v>
      </c>
      <c r="C524" s="26" t="s">
        <v>47</v>
      </c>
      <c r="D524" s="27" t="s">
        <v>48</v>
      </c>
      <c r="G524" s="28">
        <v>0</v>
      </c>
      <c r="H524" s="26">
        <v>11.8</v>
      </c>
      <c r="I524" s="26">
        <v>3</v>
      </c>
      <c r="J524" s="36">
        <v>1</v>
      </c>
      <c r="K524" s="34">
        <v>2014</v>
      </c>
      <c r="L524" s="34">
        <v>5</v>
      </c>
      <c r="M524" s="34">
        <v>20</v>
      </c>
      <c r="N524" s="26"/>
    </row>
    <row r="525" spans="1:14">
      <c r="A525" s="26">
        <v>112204</v>
      </c>
      <c r="B525" s="27" t="s">
        <v>507</v>
      </c>
      <c r="C525" s="26" t="s">
        <v>49</v>
      </c>
      <c r="D525" s="27" t="s">
        <v>255</v>
      </c>
      <c r="G525" s="28">
        <v>0</v>
      </c>
      <c r="H525" s="26">
        <v>3500</v>
      </c>
      <c r="I525" s="26">
        <v>4</v>
      </c>
      <c r="J525" s="36">
        <v>1</v>
      </c>
      <c r="K525" s="34">
        <v>2014</v>
      </c>
      <c r="L525" s="34">
        <v>5</v>
      </c>
      <c r="M525" s="34">
        <v>20</v>
      </c>
      <c r="N525" s="26"/>
    </row>
    <row r="526" spans="1:14">
      <c r="A526" s="26">
        <v>100201</v>
      </c>
      <c r="B526" s="27" t="s">
        <v>567</v>
      </c>
      <c r="C526" s="26" t="s">
        <v>47</v>
      </c>
      <c r="D526" s="27" t="s">
        <v>48</v>
      </c>
      <c r="G526" s="28">
        <v>3500</v>
      </c>
      <c r="H526" s="26">
        <v>0</v>
      </c>
      <c r="I526" s="26">
        <v>4</v>
      </c>
      <c r="J526" s="36">
        <v>1</v>
      </c>
      <c r="K526" s="34">
        <v>2014</v>
      </c>
      <c r="L526" s="34">
        <v>5</v>
      </c>
      <c r="M526" s="34">
        <v>20</v>
      </c>
      <c r="N526" s="26"/>
    </row>
    <row r="527" spans="1:14">
      <c r="A527" s="26">
        <v>100201</v>
      </c>
      <c r="B527" s="27" t="s">
        <v>568</v>
      </c>
      <c r="C527" s="26" t="s">
        <v>47</v>
      </c>
      <c r="D527" s="27" t="s">
        <v>48</v>
      </c>
      <c r="G527" s="28">
        <v>0</v>
      </c>
      <c r="H527" s="26">
        <v>1800</v>
      </c>
      <c r="I527" s="26">
        <v>5</v>
      </c>
      <c r="J527" s="36">
        <v>2</v>
      </c>
      <c r="K527" s="34">
        <v>2014</v>
      </c>
      <c r="L527" s="34">
        <v>5</v>
      </c>
      <c r="M527" s="34">
        <v>20</v>
      </c>
      <c r="N527" s="26"/>
    </row>
    <row r="528" spans="1:14">
      <c r="A528" s="26">
        <v>440102</v>
      </c>
      <c r="B528" s="27" t="s">
        <v>569</v>
      </c>
      <c r="C528" s="26" t="s">
        <v>149</v>
      </c>
      <c r="D528" s="27" t="s">
        <v>151</v>
      </c>
      <c r="G528" s="28">
        <v>3800</v>
      </c>
      <c r="H528" s="26">
        <v>0</v>
      </c>
      <c r="I528" s="26">
        <v>5</v>
      </c>
      <c r="J528" s="36">
        <v>2</v>
      </c>
      <c r="K528" s="34">
        <v>2014</v>
      </c>
      <c r="L528" s="34">
        <v>5</v>
      </c>
      <c r="M528" s="34">
        <v>20</v>
      </c>
      <c r="N528" s="26"/>
    </row>
    <row r="529" spans="1:14">
      <c r="A529" s="26">
        <v>100101</v>
      </c>
      <c r="B529" s="27" t="s">
        <v>570</v>
      </c>
      <c r="C529" s="26" t="s">
        <v>46</v>
      </c>
      <c r="D529" s="27" t="s">
        <v>199</v>
      </c>
      <c r="G529" s="28">
        <v>0</v>
      </c>
      <c r="H529" s="26">
        <v>2000</v>
      </c>
      <c r="I529" s="26">
        <v>5</v>
      </c>
      <c r="J529" s="36">
        <v>2</v>
      </c>
      <c r="K529" s="34">
        <v>2014</v>
      </c>
      <c r="L529" s="34">
        <v>5</v>
      </c>
      <c r="M529" s="34">
        <v>20</v>
      </c>
      <c r="N529" s="26"/>
    </row>
    <row r="530" spans="1:14">
      <c r="A530" s="26">
        <v>560301</v>
      </c>
      <c r="B530" s="27" t="s">
        <v>178</v>
      </c>
      <c r="C530" s="26" t="s">
        <v>177</v>
      </c>
      <c r="D530" s="27" t="s">
        <v>199</v>
      </c>
      <c r="G530" s="28">
        <v>1</v>
      </c>
      <c r="H530" s="26">
        <v>0</v>
      </c>
      <c r="I530" s="26">
        <v>6</v>
      </c>
      <c r="J530" s="36">
        <v>1</v>
      </c>
      <c r="K530" s="34">
        <v>2014</v>
      </c>
      <c r="L530" s="34">
        <v>5</v>
      </c>
      <c r="M530" s="34">
        <v>20</v>
      </c>
      <c r="N530" s="26"/>
    </row>
    <row r="531" spans="1:14">
      <c r="A531" s="26">
        <v>100201</v>
      </c>
      <c r="B531" s="27" t="s">
        <v>200</v>
      </c>
      <c r="C531" s="26" t="s">
        <v>47</v>
      </c>
      <c r="D531" s="27" t="s">
        <v>48</v>
      </c>
      <c r="G531" s="28">
        <v>0</v>
      </c>
      <c r="H531" s="26">
        <v>1</v>
      </c>
      <c r="I531" s="26">
        <v>6</v>
      </c>
      <c r="J531" s="36">
        <v>1</v>
      </c>
      <c r="K531" s="34">
        <v>2014</v>
      </c>
      <c r="L531" s="34">
        <v>5</v>
      </c>
      <c r="M531" s="34">
        <v>20</v>
      </c>
      <c r="N531" s="26"/>
    </row>
    <row r="532" spans="1:14">
      <c r="A532" s="26">
        <v>112311</v>
      </c>
      <c r="B532" s="27" t="s">
        <v>484</v>
      </c>
      <c r="C532" s="26" t="s">
        <v>64</v>
      </c>
      <c r="D532" s="27" t="s">
        <v>70</v>
      </c>
      <c r="G532" s="28">
        <v>3300</v>
      </c>
      <c r="H532" s="26">
        <v>0</v>
      </c>
      <c r="I532" s="26">
        <v>7</v>
      </c>
      <c r="J532" s="36">
        <v>2</v>
      </c>
      <c r="K532" s="34">
        <v>2014</v>
      </c>
      <c r="L532" s="34">
        <v>5</v>
      </c>
      <c r="M532" s="34">
        <v>20</v>
      </c>
      <c r="N532" s="26"/>
    </row>
    <row r="533" spans="1:14">
      <c r="A533" s="26">
        <v>100201</v>
      </c>
      <c r="B533" s="27" t="s">
        <v>571</v>
      </c>
      <c r="C533" s="26" t="s">
        <v>47</v>
      </c>
      <c r="D533" s="27" t="s">
        <v>48</v>
      </c>
      <c r="G533" s="28">
        <v>0</v>
      </c>
      <c r="H533" s="26">
        <v>3300</v>
      </c>
      <c r="I533" s="26">
        <v>7</v>
      </c>
      <c r="J533" s="36">
        <v>2</v>
      </c>
      <c r="K533" s="34">
        <v>2014</v>
      </c>
      <c r="L533" s="34">
        <v>5</v>
      </c>
      <c r="M533" s="34">
        <v>20</v>
      </c>
      <c r="N533" s="26"/>
    </row>
    <row r="534" spans="1:14">
      <c r="A534" s="26">
        <v>440107</v>
      </c>
      <c r="B534" s="27" t="s">
        <v>572</v>
      </c>
      <c r="C534" s="26" t="s">
        <v>149</v>
      </c>
      <c r="D534" s="27" t="s">
        <v>156</v>
      </c>
      <c r="G534" s="28">
        <v>2150</v>
      </c>
      <c r="H534" s="26">
        <v>0</v>
      </c>
      <c r="I534" s="26">
        <v>8</v>
      </c>
      <c r="J534" s="36">
        <v>2</v>
      </c>
      <c r="K534" s="34">
        <v>2014</v>
      </c>
      <c r="L534" s="34">
        <v>5</v>
      </c>
      <c r="M534" s="34">
        <v>20</v>
      </c>
      <c r="N534" s="26"/>
    </row>
    <row r="535" spans="1:14">
      <c r="A535" s="26">
        <v>100201</v>
      </c>
      <c r="B535" s="27" t="s">
        <v>573</v>
      </c>
      <c r="C535" s="26" t="s">
        <v>47</v>
      </c>
      <c r="D535" s="27" t="s">
        <v>48</v>
      </c>
      <c r="G535" s="28">
        <v>0</v>
      </c>
      <c r="H535" s="26">
        <v>2150</v>
      </c>
      <c r="I535" s="26">
        <v>8</v>
      </c>
      <c r="J535" s="36">
        <v>2</v>
      </c>
      <c r="K535" s="34">
        <v>2014</v>
      </c>
      <c r="L535" s="34">
        <v>5</v>
      </c>
      <c r="M535" s="34">
        <v>20</v>
      </c>
      <c r="N535" s="26"/>
    </row>
    <row r="536" spans="1:14">
      <c r="A536" s="26">
        <v>100101</v>
      </c>
      <c r="B536" s="27" t="s">
        <v>574</v>
      </c>
      <c r="C536" s="26" t="s">
        <v>46</v>
      </c>
      <c r="D536" s="27" t="s">
        <v>199</v>
      </c>
      <c r="G536" s="28">
        <v>1800</v>
      </c>
      <c r="H536" s="26">
        <v>0</v>
      </c>
      <c r="I536" s="26">
        <v>9</v>
      </c>
      <c r="J536" s="36">
        <v>1</v>
      </c>
      <c r="K536" s="34">
        <v>2014</v>
      </c>
      <c r="L536" s="34">
        <v>5</v>
      </c>
      <c r="M536" s="34">
        <v>20</v>
      </c>
      <c r="N536" s="26"/>
    </row>
    <row r="537" spans="1:14">
      <c r="A537" s="26">
        <v>112204</v>
      </c>
      <c r="B537" s="27" t="s">
        <v>511</v>
      </c>
      <c r="C537" s="26" t="s">
        <v>49</v>
      </c>
      <c r="D537" s="27" t="s">
        <v>255</v>
      </c>
      <c r="G537" s="28">
        <v>0</v>
      </c>
      <c r="H537" s="26">
        <v>1800</v>
      </c>
      <c r="I537" s="26">
        <v>9</v>
      </c>
      <c r="J537" s="36">
        <v>1</v>
      </c>
      <c r="K537" s="34">
        <v>2014</v>
      </c>
      <c r="L537" s="34">
        <v>5</v>
      </c>
      <c r="M537" s="34">
        <v>20</v>
      </c>
      <c r="N537" s="26"/>
    </row>
    <row r="538" spans="1:14">
      <c r="A538" s="26">
        <v>540303</v>
      </c>
      <c r="B538" s="27" t="s">
        <v>575</v>
      </c>
      <c r="C538" s="26" t="s">
        <v>165</v>
      </c>
      <c r="D538" s="27" t="s">
        <v>131</v>
      </c>
      <c r="G538" s="28">
        <v>41.4</v>
      </c>
      <c r="H538" s="26">
        <v>0</v>
      </c>
      <c r="I538" s="26">
        <v>10</v>
      </c>
      <c r="J538" s="36">
        <v>2</v>
      </c>
      <c r="K538" s="34">
        <v>2014</v>
      </c>
      <c r="L538" s="34">
        <v>5</v>
      </c>
      <c r="M538" s="34">
        <v>20</v>
      </c>
      <c r="N538" s="26"/>
    </row>
    <row r="539" spans="1:14">
      <c r="A539" s="26">
        <v>571101</v>
      </c>
      <c r="B539" s="27" t="s">
        <v>576</v>
      </c>
      <c r="C539" s="26" t="s">
        <v>181</v>
      </c>
      <c r="D539" s="27" t="s">
        <v>199</v>
      </c>
      <c r="G539" s="28">
        <v>6.53</v>
      </c>
      <c r="H539" s="26">
        <v>0</v>
      </c>
      <c r="I539" s="26">
        <v>10</v>
      </c>
      <c r="J539" s="36">
        <v>2</v>
      </c>
      <c r="K539" s="34">
        <v>2014</v>
      </c>
      <c r="L539" s="34">
        <v>5</v>
      </c>
      <c r="M539" s="34">
        <v>20</v>
      </c>
      <c r="N539" s="26"/>
    </row>
    <row r="540" spans="1:14">
      <c r="A540" s="26">
        <v>100101</v>
      </c>
      <c r="B540" s="27" t="s">
        <v>577</v>
      </c>
      <c r="C540" s="26" t="s">
        <v>46</v>
      </c>
      <c r="D540" s="27" t="s">
        <v>199</v>
      </c>
      <c r="G540" s="28">
        <v>0</v>
      </c>
      <c r="H540" s="26">
        <v>47.93</v>
      </c>
      <c r="I540" s="26">
        <v>10</v>
      </c>
      <c r="J540" s="36">
        <v>2</v>
      </c>
      <c r="K540" s="34">
        <v>2014</v>
      </c>
      <c r="L540" s="34">
        <v>5</v>
      </c>
      <c r="M540" s="34">
        <v>20</v>
      </c>
      <c r="N540" s="26"/>
    </row>
    <row r="541" spans="1:14">
      <c r="A541" s="26">
        <v>560206</v>
      </c>
      <c r="B541" s="27" t="s">
        <v>578</v>
      </c>
      <c r="C541" s="26" t="s">
        <v>166</v>
      </c>
      <c r="D541" s="27" t="s">
        <v>172</v>
      </c>
      <c r="G541" s="28">
        <v>131</v>
      </c>
      <c r="H541" s="26">
        <v>0</v>
      </c>
      <c r="I541" s="26">
        <v>11</v>
      </c>
      <c r="J541" s="36">
        <v>3</v>
      </c>
      <c r="K541" s="34">
        <v>2014</v>
      </c>
      <c r="L541" s="34">
        <v>5</v>
      </c>
      <c r="M541" s="34">
        <v>20</v>
      </c>
      <c r="N541" s="26"/>
    </row>
    <row r="542" spans="1:14">
      <c r="A542" s="26">
        <v>560206</v>
      </c>
      <c r="B542" s="27" t="s">
        <v>579</v>
      </c>
      <c r="C542" s="26" t="s">
        <v>166</v>
      </c>
      <c r="D542" s="27" t="s">
        <v>172</v>
      </c>
      <c r="G542" s="28">
        <v>93.59</v>
      </c>
      <c r="H542" s="26">
        <v>0</v>
      </c>
      <c r="I542" s="26">
        <v>11</v>
      </c>
      <c r="J542" s="36">
        <v>3</v>
      </c>
      <c r="K542" s="34">
        <v>2014</v>
      </c>
      <c r="L542" s="34">
        <v>5</v>
      </c>
      <c r="M542" s="34">
        <v>20</v>
      </c>
      <c r="N542" s="26"/>
    </row>
    <row r="543" spans="1:14">
      <c r="A543" s="26">
        <v>100101</v>
      </c>
      <c r="B543" s="27" t="s">
        <v>580</v>
      </c>
      <c r="C543" s="26" t="s">
        <v>46</v>
      </c>
      <c r="D543" s="27" t="s">
        <v>199</v>
      </c>
      <c r="G543" s="28">
        <v>0</v>
      </c>
      <c r="H543" s="26">
        <v>224.59</v>
      </c>
      <c r="I543" s="26">
        <v>11</v>
      </c>
      <c r="J543" s="36">
        <v>3</v>
      </c>
      <c r="K543" s="34">
        <v>2014</v>
      </c>
      <c r="L543" s="34">
        <v>5</v>
      </c>
      <c r="M543" s="34">
        <v>20</v>
      </c>
      <c r="N543" s="26"/>
    </row>
    <row r="544" spans="1:14">
      <c r="A544" s="26">
        <v>100101</v>
      </c>
      <c r="B544" s="27" t="s">
        <v>581</v>
      </c>
      <c r="C544" s="26" t="s">
        <v>46</v>
      </c>
      <c r="D544" s="27" t="s">
        <v>199</v>
      </c>
      <c r="G544" s="28">
        <v>346</v>
      </c>
      <c r="H544" s="26">
        <v>0</v>
      </c>
      <c r="I544" s="26">
        <v>12</v>
      </c>
      <c r="J544" s="36">
        <v>1</v>
      </c>
      <c r="K544" s="34">
        <v>2014</v>
      </c>
      <c r="L544" s="34">
        <v>5</v>
      </c>
      <c r="M544" s="34">
        <v>20</v>
      </c>
      <c r="N544" s="26"/>
    </row>
    <row r="545" spans="1:14">
      <c r="A545" s="26">
        <v>112205</v>
      </c>
      <c r="B545" s="27" t="s">
        <v>582</v>
      </c>
      <c r="C545" s="26" t="s">
        <v>49</v>
      </c>
      <c r="D545" s="27" t="s">
        <v>366</v>
      </c>
      <c r="G545" s="28">
        <v>0</v>
      </c>
      <c r="H545" s="26">
        <v>346</v>
      </c>
      <c r="I545" s="26">
        <v>12</v>
      </c>
      <c r="J545" s="36">
        <v>1</v>
      </c>
      <c r="K545" s="34">
        <v>2014</v>
      </c>
      <c r="L545" s="34">
        <v>5</v>
      </c>
      <c r="M545" s="34">
        <v>20</v>
      </c>
      <c r="N545" s="26"/>
    </row>
    <row r="546" spans="1:14">
      <c r="A546" s="26">
        <v>560206</v>
      </c>
      <c r="B546" s="27" t="s">
        <v>583</v>
      </c>
      <c r="C546" s="26" t="s">
        <v>166</v>
      </c>
      <c r="D546" s="27" t="s">
        <v>172</v>
      </c>
      <c r="G546" s="28">
        <v>23.5</v>
      </c>
      <c r="H546" s="26">
        <v>0</v>
      </c>
      <c r="I546" s="26">
        <v>13</v>
      </c>
      <c r="J546" s="36">
        <v>2</v>
      </c>
      <c r="K546" s="34">
        <v>2014</v>
      </c>
      <c r="L546" s="34">
        <v>5</v>
      </c>
      <c r="M546" s="34">
        <v>20</v>
      </c>
      <c r="N546" s="26"/>
    </row>
    <row r="547" spans="1:14">
      <c r="A547" s="26">
        <v>560203</v>
      </c>
      <c r="B547" s="27" t="s">
        <v>360</v>
      </c>
      <c r="C547" s="26" t="s">
        <v>166</v>
      </c>
      <c r="D547" s="27" t="s">
        <v>169</v>
      </c>
      <c r="G547" s="28">
        <v>110</v>
      </c>
      <c r="H547" s="26">
        <v>0</v>
      </c>
      <c r="I547" s="26">
        <v>13</v>
      </c>
      <c r="J547" s="36">
        <v>2</v>
      </c>
      <c r="K547" s="34">
        <v>2014</v>
      </c>
      <c r="L547" s="34">
        <v>5</v>
      </c>
      <c r="M547" s="34">
        <v>20</v>
      </c>
      <c r="N547" s="26"/>
    </row>
    <row r="548" spans="1:14">
      <c r="A548" s="26">
        <v>100101</v>
      </c>
      <c r="B548" s="27" t="s">
        <v>584</v>
      </c>
      <c r="C548" s="26" t="s">
        <v>46</v>
      </c>
      <c r="D548" s="27" t="s">
        <v>199</v>
      </c>
      <c r="G548" s="28">
        <v>0</v>
      </c>
      <c r="H548" s="26">
        <v>133.5</v>
      </c>
      <c r="I548" s="26">
        <v>13</v>
      </c>
      <c r="J548" s="36">
        <v>2</v>
      </c>
      <c r="K548" s="34">
        <v>2014</v>
      </c>
      <c r="L548" s="34">
        <v>5</v>
      </c>
      <c r="M548" s="34">
        <v>20</v>
      </c>
      <c r="N548" s="26"/>
    </row>
    <row r="549" spans="1:14">
      <c r="A549" s="26">
        <v>560201</v>
      </c>
      <c r="B549" s="27" t="s">
        <v>585</v>
      </c>
      <c r="C549" s="26" t="s">
        <v>166</v>
      </c>
      <c r="D549" s="27" t="s">
        <v>167</v>
      </c>
      <c r="G549" s="28">
        <v>20420</v>
      </c>
      <c r="H549" s="26">
        <v>0</v>
      </c>
      <c r="I549" s="26">
        <v>14</v>
      </c>
      <c r="J549" s="36">
        <v>1</v>
      </c>
      <c r="K549" s="34">
        <v>2014</v>
      </c>
      <c r="L549" s="34">
        <v>5</v>
      </c>
      <c r="M549" s="34">
        <v>20</v>
      </c>
      <c r="N549" s="26"/>
    </row>
    <row r="550" spans="1:14">
      <c r="A550" s="26">
        <v>560210</v>
      </c>
      <c r="B550" s="27" t="s">
        <v>586</v>
      </c>
      <c r="C550" s="26" t="s">
        <v>166</v>
      </c>
      <c r="D550" s="27" t="s">
        <v>176</v>
      </c>
      <c r="G550" s="28">
        <v>2012.52</v>
      </c>
      <c r="H550" s="26">
        <v>0</v>
      </c>
      <c r="I550" s="26">
        <v>14</v>
      </c>
      <c r="J550" s="36">
        <v>1</v>
      </c>
      <c r="K550" s="34">
        <v>2014</v>
      </c>
      <c r="L550" s="34">
        <v>5</v>
      </c>
      <c r="M550" s="34">
        <v>20</v>
      </c>
      <c r="N550" s="26"/>
    </row>
    <row r="551" spans="1:14">
      <c r="A551" s="26">
        <v>221101</v>
      </c>
      <c r="B551" s="27" t="s">
        <v>585</v>
      </c>
      <c r="C551" s="26" t="s">
        <v>113</v>
      </c>
      <c r="D551" s="27" t="s">
        <v>114</v>
      </c>
      <c r="G551" s="28">
        <v>0</v>
      </c>
      <c r="H551" s="26">
        <v>20420</v>
      </c>
      <c r="I551" s="26">
        <v>14</v>
      </c>
      <c r="J551" s="36">
        <v>1</v>
      </c>
      <c r="K551" s="34">
        <v>2014</v>
      </c>
      <c r="L551" s="34">
        <v>5</v>
      </c>
      <c r="M551" s="34">
        <v>20</v>
      </c>
      <c r="N551" s="26"/>
    </row>
    <row r="552" spans="1:14">
      <c r="A552" s="26">
        <v>221104</v>
      </c>
      <c r="B552" s="27" t="s">
        <v>586</v>
      </c>
      <c r="C552" s="26" t="s">
        <v>113</v>
      </c>
      <c r="D552" s="27" t="s">
        <v>117</v>
      </c>
      <c r="G552" s="28">
        <v>0</v>
      </c>
      <c r="H552" s="26">
        <v>2012.52</v>
      </c>
      <c r="I552" s="26">
        <v>14</v>
      </c>
      <c r="J552" s="36">
        <v>1</v>
      </c>
      <c r="K552" s="34">
        <v>2014</v>
      </c>
      <c r="L552" s="34">
        <v>5</v>
      </c>
      <c r="M552" s="34">
        <v>20</v>
      </c>
      <c r="N552" s="26"/>
    </row>
    <row r="553" spans="1:14">
      <c r="A553" s="26">
        <v>560202</v>
      </c>
      <c r="B553" s="27" t="s">
        <v>587</v>
      </c>
      <c r="C553" s="26" t="s">
        <v>166</v>
      </c>
      <c r="D553" s="27" t="s">
        <v>168</v>
      </c>
      <c r="G553" s="28">
        <v>518</v>
      </c>
      <c r="H553" s="26">
        <v>0</v>
      </c>
      <c r="I553" s="26">
        <v>15</v>
      </c>
      <c r="J553" s="36">
        <v>1</v>
      </c>
      <c r="K553" s="34">
        <v>2014</v>
      </c>
      <c r="L553" s="34">
        <v>5</v>
      </c>
      <c r="M553" s="34">
        <v>20</v>
      </c>
      <c r="N553" s="26"/>
    </row>
    <row r="554" spans="1:14">
      <c r="A554" s="26">
        <v>160201</v>
      </c>
      <c r="B554" s="27" t="s">
        <v>587</v>
      </c>
      <c r="C554" s="26" t="s">
        <v>99</v>
      </c>
      <c r="D554" s="27" t="s">
        <v>92</v>
      </c>
      <c r="G554" s="28">
        <v>0</v>
      </c>
      <c r="H554" s="26">
        <v>89</v>
      </c>
      <c r="I554" s="26">
        <v>15</v>
      </c>
      <c r="J554" s="36">
        <v>1</v>
      </c>
      <c r="K554" s="34">
        <v>2014</v>
      </c>
      <c r="L554" s="34">
        <v>5</v>
      </c>
      <c r="M554" s="34">
        <v>20</v>
      </c>
      <c r="N554" s="26"/>
    </row>
    <row r="555" spans="1:14">
      <c r="A555" s="26">
        <v>160202</v>
      </c>
      <c r="B555" s="27" t="s">
        <v>587</v>
      </c>
      <c r="C555" s="26" t="s">
        <v>99</v>
      </c>
      <c r="D555" s="27" t="s">
        <v>93</v>
      </c>
      <c r="G555" s="28">
        <v>0</v>
      </c>
      <c r="H555" s="26">
        <v>122</v>
      </c>
      <c r="I555" s="26">
        <v>15</v>
      </c>
      <c r="J555" s="36">
        <v>1</v>
      </c>
      <c r="K555" s="34">
        <v>2014</v>
      </c>
      <c r="L555" s="34">
        <v>5</v>
      </c>
      <c r="M555" s="34">
        <v>20</v>
      </c>
      <c r="N555" s="26"/>
    </row>
    <row r="556" spans="1:14">
      <c r="A556" s="26">
        <v>160203</v>
      </c>
      <c r="B556" s="27" t="s">
        <v>587</v>
      </c>
      <c r="C556" s="26" t="s">
        <v>99</v>
      </c>
      <c r="D556" s="27" t="s">
        <v>94</v>
      </c>
      <c r="G556" s="28">
        <v>0</v>
      </c>
      <c r="H556" s="26">
        <v>107</v>
      </c>
      <c r="I556" s="26">
        <v>15</v>
      </c>
      <c r="J556" s="36">
        <v>1</v>
      </c>
      <c r="K556" s="34">
        <v>2014</v>
      </c>
      <c r="L556" s="34">
        <v>5</v>
      </c>
      <c r="M556" s="34">
        <v>20</v>
      </c>
      <c r="N556" s="26"/>
    </row>
    <row r="557" spans="1:14">
      <c r="A557" s="26">
        <v>160204</v>
      </c>
      <c r="B557" s="27" t="s">
        <v>587</v>
      </c>
      <c r="C557" s="26" t="s">
        <v>99</v>
      </c>
      <c r="D557" s="27" t="s">
        <v>95</v>
      </c>
      <c r="G557" s="28">
        <v>0</v>
      </c>
      <c r="H557" s="26">
        <v>58</v>
      </c>
      <c r="I557" s="26">
        <v>15</v>
      </c>
      <c r="J557" s="36">
        <v>1</v>
      </c>
      <c r="K557" s="34">
        <v>2014</v>
      </c>
      <c r="L557" s="34">
        <v>5</v>
      </c>
      <c r="M557" s="34">
        <v>20</v>
      </c>
      <c r="N557" s="26"/>
    </row>
    <row r="558" spans="1:14">
      <c r="A558" s="26">
        <v>160205</v>
      </c>
      <c r="B558" s="27" t="s">
        <v>587</v>
      </c>
      <c r="C558" s="26" t="s">
        <v>99</v>
      </c>
      <c r="D558" s="27" t="s">
        <v>96</v>
      </c>
      <c r="G558" s="28">
        <v>0</v>
      </c>
      <c r="H558" s="26">
        <v>69</v>
      </c>
      <c r="I558" s="26">
        <v>15</v>
      </c>
      <c r="J558" s="36">
        <v>1</v>
      </c>
      <c r="K558" s="34">
        <v>2014</v>
      </c>
      <c r="L558" s="34">
        <v>5</v>
      </c>
      <c r="M558" s="34">
        <v>20</v>
      </c>
      <c r="N558" s="26"/>
    </row>
    <row r="559" spans="1:14">
      <c r="A559" s="26">
        <v>160206</v>
      </c>
      <c r="B559" s="27" t="s">
        <v>587</v>
      </c>
      <c r="C559" s="26" t="s">
        <v>99</v>
      </c>
      <c r="D559" s="27" t="s">
        <v>97</v>
      </c>
      <c r="G559" s="28">
        <v>0</v>
      </c>
      <c r="H559" s="26">
        <v>73</v>
      </c>
      <c r="I559" s="26">
        <v>15</v>
      </c>
      <c r="J559" s="36">
        <v>1</v>
      </c>
      <c r="K559" s="34">
        <v>2014</v>
      </c>
      <c r="L559" s="34">
        <v>5</v>
      </c>
      <c r="M559" s="34">
        <v>20</v>
      </c>
      <c r="N559" s="26"/>
    </row>
    <row r="560" spans="1:14">
      <c r="A560" s="26">
        <v>440106</v>
      </c>
      <c r="B560" s="27" t="s">
        <v>588</v>
      </c>
      <c r="C560" s="26" t="s">
        <v>149</v>
      </c>
      <c r="D560" s="27" t="s">
        <v>354</v>
      </c>
      <c r="G560" s="28">
        <v>55000</v>
      </c>
      <c r="H560" s="26">
        <v>0</v>
      </c>
      <c r="I560" s="26">
        <v>16</v>
      </c>
      <c r="J560" s="36">
        <v>1</v>
      </c>
      <c r="K560" s="34">
        <v>2014</v>
      </c>
      <c r="L560" s="34">
        <v>5</v>
      </c>
      <c r="M560" s="34">
        <v>20</v>
      </c>
      <c r="N560" s="26"/>
    </row>
    <row r="561" spans="1:14">
      <c r="A561" s="26">
        <v>221101</v>
      </c>
      <c r="B561" s="27" t="s">
        <v>588</v>
      </c>
      <c r="C561" s="26" t="s">
        <v>113</v>
      </c>
      <c r="D561" s="27" t="s">
        <v>114</v>
      </c>
      <c r="G561" s="28">
        <v>0</v>
      </c>
      <c r="H561" s="26">
        <v>55000</v>
      </c>
      <c r="I561" s="26">
        <v>16</v>
      </c>
      <c r="J561" s="36">
        <v>1</v>
      </c>
      <c r="K561" s="34">
        <v>2014</v>
      </c>
      <c r="L561" s="34">
        <v>5</v>
      </c>
      <c r="M561" s="34">
        <v>20</v>
      </c>
      <c r="N561" s="26"/>
    </row>
    <row r="562" spans="1:14">
      <c r="A562" s="26">
        <v>560209</v>
      </c>
      <c r="B562" s="27" t="s">
        <v>589</v>
      </c>
      <c r="C562" s="26" t="s">
        <v>166</v>
      </c>
      <c r="D562" s="27" t="s">
        <v>175</v>
      </c>
      <c r="G562" s="28">
        <v>420</v>
      </c>
      <c r="H562" s="26">
        <v>0</v>
      </c>
      <c r="I562" s="26">
        <v>17</v>
      </c>
      <c r="J562" s="36">
        <v>1</v>
      </c>
      <c r="K562" s="34">
        <v>2014</v>
      </c>
      <c r="L562" s="34">
        <v>5</v>
      </c>
      <c r="M562" s="34">
        <v>20</v>
      </c>
      <c r="N562" s="26"/>
    </row>
    <row r="563" spans="1:14">
      <c r="A563" s="26">
        <v>100101</v>
      </c>
      <c r="B563" s="27" t="s">
        <v>589</v>
      </c>
      <c r="C563" s="26" t="s">
        <v>46</v>
      </c>
      <c r="D563" s="27" t="s">
        <v>199</v>
      </c>
      <c r="G563" s="28">
        <v>0</v>
      </c>
      <c r="H563" s="26">
        <v>420</v>
      </c>
      <c r="I563" s="26">
        <v>17</v>
      </c>
      <c r="J563" s="36">
        <v>1</v>
      </c>
      <c r="K563" s="34">
        <v>2014</v>
      </c>
      <c r="L563" s="34">
        <v>5</v>
      </c>
      <c r="M563" s="34">
        <v>20</v>
      </c>
      <c r="N563" s="26"/>
    </row>
    <row r="564" spans="1:14">
      <c r="A564" s="26">
        <v>112204</v>
      </c>
      <c r="B564" s="27" t="s">
        <v>590</v>
      </c>
      <c r="C564" s="26" t="s">
        <v>49</v>
      </c>
      <c r="D564" s="27" t="s">
        <v>255</v>
      </c>
      <c r="G564" s="28">
        <v>2000</v>
      </c>
      <c r="H564" s="26">
        <v>0</v>
      </c>
      <c r="I564" s="26">
        <v>18</v>
      </c>
      <c r="J564" s="36">
        <v>1</v>
      </c>
      <c r="K564" s="34">
        <v>2014</v>
      </c>
      <c r="L564" s="34">
        <v>5</v>
      </c>
      <c r="M564" s="34">
        <v>20</v>
      </c>
      <c r="N564" s="26"/>
    </row>
    <row r="565" spans="1:14">
      <c r="A565" s="26">
        <v>500102</v>
      </c>
      <c r="B565" s="27" t="s">
        <v>590</v>
      </c>
      <c r="C565" s="26" t="s">
        <v>157</v>
      </c>
      <c r="D565" s="27" t="s">
        <v>159</v>
      </c>
      <c r="G565" s="28">
        <v>0</v>
      </c>
      <c r="H565" s="26">
        <v>2000</v>
      </c>
      <c r="I565" s="26">
        <v>18</v>
      </c>
      <c r="J565" s="36">
        <v>1</v>
      </c>
      <c r="K565" s="34">
        <v>2014</v>
      </c>
      <c r="L565" s="34">
        <v>5</v>
      </c>
      <c r="M565" s="34">
        <v>20</v>
      </c>
      <c r="N565" s="26"/>
    </row>
    <row r="566" spans="1:14">
      <c r="A566" s="26">
        <v>560209</v>
      </c>
      <c r="B566" s="27" t="s">
        <v>216</v>
      </c>
      <c r="C566" s="26" t="s">
        <v>166</v>
      </c>
      <c r="D566" s="27" t="s">
        <v>175</v>
      </c>
      <c r="G566" s="28">
        <v>287</v>
      </c>
      <c r="H566" s="26">
        <v>0</v>
      </c>
      <c r="I566" s="26">
        <v>19</v>
      </c>
      <c r="J566" s="36">
        <v>4</v>
      </c>
      <c r="K566" s="34">
        <v>2014</v>
      </c>
      <c r="L566" s="34">
        <v>5</v>
      </c>
      <c r="M566" s="34">
        <v>20</v>
      </c>
      <c r="N566" s="26"/>
    </row>
    <row r="567" spans="1:14">
      <c r="A567" s="26">
        <v>560203</v>
      </c>
      <c r="B567" s="27" t="s">
        <v>591</v>
      </c>
      <c r="C567" s="26" t="s">
        <v>166</v>
      </c>
      <c r="D567" s="27" t="s">
        <v>169</v>
      </c>
      <c r="G567" s="28">
        <v>213</v>
      </c>
      <c r="H567" s="26">
        <v>0</v>
      </c>
      <c r="I567" s="26">
        <v>19</v>
      </c>
      <c r="J567" s="36">
        <v>4</v>
      </c>
      <c r="K567" s="34">
        <v>2014</v>
      </c>
      <c r="L567" s="34">
        <v>5</v>
      </c>
      <c r="M567" s="34">
        <v>20</v>
      </c>
      <c r="N567" s="26"/>
    </row>
    <row r="568" spans="1:14">
      <c r="A568" s="26">
        <v>560206</v>
      </c>
      <c r="B568" s="27" t="s">
        <v>592</v>
      </c>
      <c r="C568" s="26" t="s">
        <v>166</v>
      </c>
      <c r="D568" s="27" t="s">
        <v>172</v>
      </c>
      <c r="G568" s="28">
        <v>511</v>
      </c>
      <c r="H568" s="26">
        <v>0</v>
      </c>
      <c r="I568" s="26">
        <v>19</v>
      </c>
      <c r="J568" s="36">
        <v>4</v>
      </c>
      <c r="K568" s="34">
        <v>2014</v>
      </c>
      <c r="L568" s="34">
        <v>5</v>
      </c>
      <c r="M568" s="34">
        <v>20</v>
      </c>
      <c r="N568" s="26"/>
    </row>
    <row r="569" spans="1:14">
      <c r="A569" s="26">
        <v>100101</v>
      </c>
      <c r="B569" s="27" t="s">
        <v>593</v>
      </c>
      <c r="C569" s="26" t="s">
        <v>46</v>
      </c>
      <c r="D569" s="27" t="s">
        <v>199</v>
      </c>
      <c r="G569" s="28">
        <v>0</v>
      </c>
      <c r="H569" s="26">
        <v>1011</v>
      </c>
      <c r="I569" s="26">
        <v>19</v>
      </c>
      <c r="J569" s="36">
        <v>4</v>
      </c>
      <c r="K569" s="34">
        <v>2014</v>
      </c>
      <c r="L569" s="34">
        <v>5</v>
      </c>
      <c r="M569" s="34">
        <v>20</v>
      </c>
      <c r="N569" s="26"/>
    </row>
    <row r="570" spans="1:14">
      <c r="A570" s="26">
        <v>100201</v>
      </c>
      <c r="B570" s="27" t="s">
        <v>594</v>
      </c>
      <c r="C570" s="26" t="s">
        <v>47</v>
      </c>
      <c r="D570" s="27" t="s">
        <v>48</v>
      </c>
      <c r="G570" s="28">
        <v>2000</v>
      </c>
      <c r="H570" s="26">
        <v>0</v>
      </c>
      <c r="I570" s="26">
        <v>20</v>
      </c>
      <c r="J570" s="36">
        <v>1</v>
      </c>
      <c r="K570" s="34">
        <v>2014</v>
      </c>
      <c r="L570" s="34">
        <v>5</v>
      </c>
      <c r="M570" s="34">
        <v>20</v>
      </c>
      <c r="N570" s="26"/>
    </row>
    <row r="571" spans="1:14">
      <c r="A571" s="26">
        <v>112204</v>
      </c>
      <c r="B571" s="27" t="s">
        <v>590</v>
      </c>
      <c r="C571" s="26" t="s">
        <v>49</v>
      </c>
      <c r="D571" s="27" t="s">
        <v>255</v>
      </c>
      <c r="G571" s="28">
        <v>0</v>
      </c>
      <c r="H571" s="26">
        <v>2000</v>
      </c>
      <c r="I571" s="26">
        <v>20</v>
      </c>
      <c r="J571" s="36">
        <v>1</v>
      </c>
      <c r="K571" s="34">
        <v>2014</v>
      </c>
      <c r="L571" s="34">
        <v>5</v>
      </c>
      <c r="M571" s="34">
        <v>20</v>
      </c>
      <c r="N571" s="26"/>
    </row>
    <row r="572" spans="1:14">
      <c r="A572" s="26">
        <v>140501</v>
      </c>
      <c r="B572" s="27" t="s">
        <v>54</v>
      </c>
      <c r="C572" s="26" t="s">
        <v>89</v>
      </c>
      <c r="D572" s="27" t="s">
        <v>199</v>
      </c>
      <c r="G572" s="28">
        <v>307.69</v>
      </c>
      <c r="H572" s="26">
        <v>0</v>
      </c>
      <c r="I572" s="26">
        <v>21</v>
      </c>
      <c r="J572" s="36">
        <v>1</v>
      </c>
      <c r="K572" s="34">
        <v>2014</v>
      </c>
      <c r="L572" s="34">
        <v>5</v>
      </c>
      <c r="M572" s="34">
        <v>20</v>
      </c>
      <c r="N572" s="26"/>
    </row>
    <row r="573" spans="1:14">
      <c r="A573" s="26">
        <v>122105</v>
      </c>
      <c r="B573" s="27" t="s">
        <v>595</v>
      </c>
      <c r="C573" s="26" t="s">
        <v>78</v>
      </c>
      <c r="D573" s="27" t="s">
        <v>83</v>
      </c>
      <c r="G573" s="28">
        <v>0</v>
      </c>
      <c r="H573" s="26">
        <v>360</v>
      </c>
      <c r="I573" s="26">
        <v>21</v>
      </c>
      <c r="J573" s="36">
        <v>1</v>
      </c>
      <c r="K573" s="34">
        <v>2014</v>
      </c>
      <c r="L573" s="34">
        <v>5</v>
      </c>
      <c r="M573" s="34">
        <v>20</v>
      </c>
      <c r="N573" s="26"/>
    </row>
    <row r="574" spans="1:14">
      <c r="A574" s="26">
        <v>222121</v>
      </c>
      <c r="B574" s="27" t="s">
        <v>595</v>
      </c>
      <c r="C574" s="26" t="s">
        <v>126</v>
      </c>
      <c r="D574" s="27" t="s">
        <v>133</v>
      </c>
      <c r="E574" s="26" t="s">
        <v>199</v>
      </c>
      <c r="F574" s="26" t="s">
        <v>199</v>
      </c>
      <c r="G574" s="28">
        <v>52.31</v>
      </c>
      <c r="H574" s="26">
        <v>0</v>
      </c>
      <c r="I574" s="26">
        <v>21</v>
      </c>
      <c r="J574" s="36">
        <v>1</v>
      </c>
      <c r="K574" s="34">
        <v>2014</v>
      </c>
      <c r="L574" s="34">
        <v>5</v>
      </c>
      <c r="M574" s="34">
        <v>20</v>
      </c>
      <c r="N574" s="26"/>
    </row>
    <row r="575" spans="1:14">
      <c r="A575" s="26">
        <v>540101</v>
      </c>
      <c r="B575" s="27" t="s">
        <v>596</v>
      </c>
      <c r="C575" s="26" t="s">
        <v>161</v>
      </c>
      <c r="D575" s="27" t="s">
        <v>162</v>
      </c>
      <c r="G575" s="28">
        <v>430</v>
      </c>
      <c r="H575" s="26">
        <v>0</v>
      </c>
      <c r="I575" s="26">
        <v>22</v>
      </c>
      <c r="J575" s="36">
        <v>0</v>
      </c>
      <c r="K575" s="34">
        <v>2014</v>
      </c>
      <c r="L575" s="34">
        <v>5</v>
      </c>
      <c r="M575" s="34">
        <v>20</v>
      </c>
      <c r="N575" s="26"/>
    </row>
    <row r="576" spans="1:14">
      <c r="A576" s="26">
        <v>140501</v>
      </c>
      <c r="B576" s="27" t="s">
        <v>596</v>
      </c>
      <c r="C576" s="26" t="s">
        <v>89</v>
      </c>
      <c r="D576" s="27" t="s">
        <v>199</v>
      </c>
      <c r="G576" s="28">
        <v>0</v>
      </c>
      <c r="H576" s="26">
        <v>360</v>
      </c>
      <c r="I576" s="26">
        <v>22</v>
      </c>
      <c r="J576" s="36">
        <v>0</v>
      </c>
      <c r="K576" s="34">
        <v>2014</v>
      </c>
      <c r="L576" s="34">
        <v>5</v>
      </c>
      <c r="M576" s="34">
        <v>20</v>
      </c>
      <c r="N576" s="26"/>
    </row>
    <row r="577" spans="1:14">
      <c r="A577" s="26">
        <v>140501</v>
      </c>
      <c r="B577" s="27" t="s">
        <v>596</v>
      </c>
      <c r="C577" s="26" t="s">
        <v>89</v>
      </c>
      <c r="D577" s="27" t="s">
        <v>199</v>
      </c>
      <c r="G577" s="28">
        <v>0</v>
      </c>
      <c r="H577" s="26">
        <v>70</v>
      </c>
      <c r="I577" s="26">
        <v>22</v>
      </c>
      <c r="J577" s="36">
        <v>0</v>
      </c>
      <c r="K577" s="34">
        <v>2014</v>
      </c>
      <c r="L577" s="34">
        <v>5</v>
      </c>
      <c r="M577" s="34">
        <v>20</v>
      </c>
      <c r="N577" s="26"/>
    </row>
    <row r="578" spans="1:14">
      <c r="A578" s="26">
        <v>540304</v>
      </c>
      <c r="B578" s="27" t="s">
        <v>597</v>
      </c>
      <c r="C578" s="26" t="s">
        <v>165</v>
      </c>
      <c r="D578" s="27" t="s">
        <v>128</v>
      </c>
      <c r="G578" s="28">
        <v>100</v>
      </c>
      <c r="H578" s="26">
        <v>0</v>
      </c>
      <c r="I578" s="26">
        <v>23</v>
      </c>
      <c r="J578" s="36">
        <v>1</v>
      </c>
      <c r="K578" s="34">
        <v>2014</v>
      </c>
      <c r="L578" s="34">
        <v>5</v>
      </c>
      <c r="M578" s="34">
        <v>20</v>
      </c>
      <c r="N578" s="26"/>
    </row>
    <row r="579" spans="1:14">
      <c r="A579" s="26">
        <v>540301</v>
      </c>
      <c r="B579" s="27" t="s">
        <v>597</v>
      </c>
      <c r="C579" s="26" t="s">
        <v>165</v>
      </c>
      <c r="D579" s="27" t="s">
        <v>129</v>
      </c>
      <c r="G579" s="28">
        <v>7</v>
      </c>
      <c r="H579" s="26">
        <v>0</v>
      </c>
      <c r="I579" s="26">
        <v>23</v>
      </c>
      <c r="J579" s="36">
        <v>1</v>
      </c>
      <c r="K579" s="34">
        <v>2014</v>
      </c>
      <c r="L579" s="34">
        <v>5</v>
      </c>
      <c r="M579" s="34">
        <v>20</v>
      </c>
      <c r="N579" s="26"/>
    </row>
    <row r="580" spans="1:14">
      <c r="A580" s="26">
        <v>540302</v>
      </c>
      <c r="B580" s="27" t="s">
        <v>597</v>
      </c>
      <c r="C580" s="26" t="s">
        <v>165</v>
      </c>
      <c r="D580" s="27" t="s">
        <v>130</v>
      </c>
      <c r="G580" s="28">
        <v>5</v>
      </c>
      <c r="H580" s="26">
        <v>0</v>
      </c>
      <c r="I580" s="26">
        <v>23</v>
      </c>
      <c r="J580" s="36">
        <v>1</v>
      </c>
      <c r="K580" s="34">
        <v>2014</v>
      </c>
      <c r="L580" s="34">
        <v>5</v>
      </c>
      <c r="M580" s="34">
        <v>20</v>
      </c>
      <c r="N580" s="26"/>
    </row>
    <row r="581" spans="1:14">
      <c r="A581" s="26">
        <v>540303</v>
      </c>
      <c r="B581" s="27" t="s">
        <v>597</v>
      </c>
      <c r="C581" s="26" t="s">
        <v>165</v>
      </c>
      <c r="D581" s="27" t="s">
        <v>131</v>
      </c>
      <c r="G581" s="28">
        <v>0.6</v>
      </c>
      <c r="H581" s="26">
        <v>0</v>
      </c>
      <c r="I581" s="26">
        <v>23</v>
      </c>
      <c r="J581" s="36">
        <v>1</v>
      </c>
      <c r="K581" s="34">
        <v>2014</v>
      </c>
      <c r="L581" s="34">
        <v>5</v>
      </c>
      <c r="M581" s="34">
        <v>20</v>
      </c>
      <c r="N581" s="26"/>
    </row>
    <row r="582" spans="1:14">
      <c r="A582" s="26">
        <v>560206</v>
      </c>
      <c r="B582" s="27" t="s">
        <v>597</v>
      </c>
      <c r="C582" s="26" t="s">
        <v>166</v>
      </c>
      <c r="D582" s="27" t="s">
        <v>172</v>
      </c>
      <c r="G582" s="28">
        <v>2</v>
      </c>
      <c r="H582" s="26">
        <v>0</v>
      </c>
      <c r="I582" s="26">
        <v>23</v>
      </c>
      <c r="J582" s="36">
        <v>1</v>
      </c>
      <c r="K582" s="34">
        <v>2014</v>
      </c>
      <c r="L582" s="34">
        <v>5</v>
      </c>
      <c r="M582" s="34">
        <v>20</v>
      </c>
      <c r="N582" s="26"/>
    </row>
    <row r="583" spans="1:14">
      <c r="A583" s="26">
        <v>222102</v>
      </c>
      <c r="B583" s="27" t="s">
        <v>597</v>
      </c>
      <c r="C583" s="26" t="s">
        <v>126</v>
      </c>
      <c r="D583" s="27" t="s">
        <v>128</v>
      </c>
      <c r="G583" s="28">
        <v>0</v>
      </c>
      <c r="H583" s="26">
        <v>100</v>
      </c>
      <c r="I583" s="26">
        <v>23</v>
      </c>
      <c r="J583" s="36">
        <v>1</v>
      </c>
      <c r="K583" s="34">
        <v>2014</v>
      </c>
      <c r="L583" s="34">
        <v>5</v>
      </c>
      <c r="M583" s="34">
        <v>20</v>
      </c>
      <c r="N583" s="26"/>
    </row>
    <row r="584" spans="1:14">
      <c r="A584" s="26">
        <v>222103</v>
      </c>
      <c r="B584" s="27" t="s">
        <v>597</v>
      </c>
      <c r="C584" s="26" t="s">
        <v>126</v>
      </c>
      <c r="D584" s="27" t="s">
        <v>129</v>
      </c>
      <c r="G584" s="28">
        <v>0</v>
      </c>
      <c r="H584" s="26">
        <v>7</v>
      </c>
      <c r="I584" s="26">
        <v>23</v>
      </c>
      <c r="J584" s="36">
        <v>1</v>
      </c>
      <c r="K584" s="34">
        <v>2014</v>
      </c>
      <c r="L584" s="34">
        <v>5</v>
      </c>
      <c r="M584" s="34">
        <v>20</v>
      </c>
      <c r="N584" s="26"/>
    </row>
    <row r="585" spans="1:14">
      <c r="A585" s="26">
        <v>222104</v>
      </c>
      <c r="B585" s="27" t="s">
        <v>597</v>
      </c>
      <c r="C585" s="26" t="s">
        <v>126</v>
      </c>
      <c r="D585" s="27" t="s">
        <v>130</v>
      </c>
      <c r="G585" s="28">
        <v>0</v>
      </c>
      <c r="H585" s="26">
        <v>5</v>
      </c>
      <c r="I585" s="26">
        <v>23</v>
      </c>
      <c r="J585" s="36">
        <v>1</v>
      </c>
      <c r="K585" s="34">
        <v>2014</v>
      </c>
      <c r="L585" s="34">
        <v>5</v>
      </c>
      <c r="M585" s="34">
        <v>20</v>
      </c>
      <c r="N585" s="26"/>
    </row>
    <row r="586" spans="1:14">
      <c r="A586" s="26">
        <v>222105</v>
      </c>
      <c r="B586" s="27" t="s">
        <v>597</v>
      </c>
      <c r="C586" s="26" t="s">
        <v>126</v>
      </c>
      <c r="D586" s="27" t="s">
        <v>131</v>
      </c>
      <c r="G586" s="28">
        <v>0</v>
      </c>
      <c r="H586" s="26">
        <v>0.6</v>
      </c>
      <c r="I586" s="26">
        <v>23</v>
      </c>
      <c r="J586" s="36">
        <v>1</v>
      </c>
      <c r="K586" s="34">
        <v>2014</v>
      </c>
      <c r="L586" s="34">
        <v>5</v>
      </c>
      <c r="M586" s="34">
        <v>20</v>
      </c>
      <c r="N586" s="26"/>
    </row>
    <row r="587" spans="1:14">
      <c r="A587" s="26">
        <v>224104</v>
      </c>
      <c r="B587" s="27" t="s">
        <v>597</v>
      </c>
      <c r="C587" s="26" t="s">
        <v>140</v>
      </c>
      <c r="D587" s="27" t="s">
        <v>142</v>
      </c>
      <c r="G587" s="28">
        <v>0</v>
      </c>
      <c r="H587" s="26">
        <v>2</v>
      </c>
      <c r="I587" s="26">
        <v>23</v>
      </c>
      <c r="J587" s="36">
        <v>1</v>
      </c>
      <c r="K587" s="34">
        <v>2014</v>
      </c>
      <c r="L587" s="34">
        <v>5</v>
      </c>
      <c r="M587" s="34">
        <v>20</v>
      </c>
      <c r="N587" s="26"/>
    </row>
    <row r="588" spans="1:14">
      <c r="A588" s="26">
        <v>112204</v>
      </c>
      <c r="B588" s="27" t="s">
        <v>598</v>
      </c>
      <c r="C588" s="26" t="s">
        <v>49</v>
      </c>
      <c r="D588" s="27" t="s">
        <v>255</v>
      </c>
      <c r="G588" s="28">
        <v>3500</v>
      </c>
      <c r="H588" s="26">
        <v>0</v>
      </c>
      <c r="I588" s="26">
        <v>1</v>
      </c>
      <c r="J588" s="36">
        <v>6</v>
      </c>
      <c r="K588" s="34">
        <v>2014</v>
      </c>
      <c r="L588" s="34">
        <v>6</v>
      </c>
      <c r="M588" s="34">
        <v>5</v>
      </c>
      <c r="N588" s="26"/>
    </row>
    <row r="589" spans="1:14">
      <c r="A589" s="26">
        <v>112204</v>
      </c>
      <c r="B589" s="27" t="s">
        <v>599</v>
      </c>
      <c r="C589" s="26" t="s">
        <v>49</v>
      </c>
      <c r="D589" s="27" t="s">
        <v>255</v>
      </c>
      <c r="G589" s="28">
        <v>1100</v>
      </c>
      <c r="H589" s="26">
        <v>0</v>
      </c>
      <c r="I589" s="26">
        <v>1</v>
      </c>
      <c r="J589" s="36">
        <v>6</v>
      </c>
      <c r="K589" s="34">
        <v>2014</v>
      </c>
      <c r="L589" s="34">
        <v>6</v>
      </c>
      <c r="M589" s="34">
        <v>5</v>
      </c>
      <c r="N589" s="26"/>
    </row>
    <row r="590" spans="1:14">
      <c r="A590" s="26">
        <v>112204</v>
      </c>
      <c r="B590" s="27" t="s">
        <v>600</v>
      </c>
      <c r="C590" s="26" t="s">
        <v>49</v>
      </c>
      <c r="D590" s="27" t="s">
        <v>255</v>
      </c>
      <c r="G590" s="28">
        <v>1800</v>
      </c>
      <c r="H590" s="26">
        <v>0</v>
      </c>
      <c r="I590" s="26">
        <v>1</v>
      </c>
      <c r="J590" s="36">
        <v>6</v>
      </c>
      <c r="K590" s="34">
        <v>2014</v>
      </c>
      <c r="L590" s="34">
        <v>6</v>
      </c>
      <c r="M590" s="34">
        <v>5</v>
      </c>
      <c r="N590" s="26"/>
    </row>
    <row r="591" spans="1:14">
      <c r="A591" s="26">
        <v>112204</v>
      </c>
      <c r="B591" s="27" t="s">
        <v>601</v>
      </c>
      <c r="C591" s="26" t="s">
        <v>49</v>
      </c>
      <c r="D591" s="27" t="s">
        <v>255</v>
      </c>
      <c r="G591" s="28">
        <v>2250</v>
      </c>
      <c r="H591" s="26">
        <v>0</v>
      </c>
      <c r="I591" s="26">
        <v>1</v>
      </c>
      <c r="J591" s="36">
        <v>6</v>
      </c>
      <c r="K591" s="34">
        <v>2014</v>
      </c>
      <c r="L591" s="34">
        <v>6</v>
      </c>
      <c r="M591" s="34">
        <v>5</v>
      </c>
      <c r="N591" s="26"/>
    </row>
    <row r="592" spans="1:14">
      <c r="A592" s="26">
        <v>112204</v>
      </c>
      <c r="B592" s="27" t="s">
        <v>602</v>
      </c>
      <c r="C592" s="26" t="s">
        <v>49</v>
      </c>
      <c r="D592" s="27" t="s">
        <v>255</v>
      </c>
      <c r="G592" s="28">
        <v>3000</v>
      </c>
      <c r="H592" s="26">
        <v>0</v>
      </c>
      <c r="I592" s="26">
        <v>1</v>
      </c>
      <c r="J592" s="36">
        <v>6</v>
      </c>
      <c r="K592" s="34">
        <v>2014</v>
      </c>
      <c r="L592" s="34">
        <v>6</v>
      </c>
      <c r="M592" s="34">
        <v>5</v>
      </c>
      <c r="N592" s="26"/>
    </row>
    <row r="593" spans="1:14">
      <c r="A593" s="26">
        <v>500102</v>
      </c>
      <c r="B593" s="27" t="s">
        <v>603</v>
      </c>
      <c r="C593" s="26" t="s">
        <v>157</v>
      </c>
      <c r="D593" s="27" t="s">
        <v>159</v>
      </c>
      <c r="G593" s="28">
        <v>0</v>
      </c>
      <c r="H593" s="26">
        <v>15650</v>
      </c>
      <c r="I593" s="26">
        <v>1</v>
      </c>
      <c r="J593" s="36">
        <v>6</v>
      </c>
      <c r="K593" s="34">
        <v>2014</v>
      </c>
      <c r="L593" s="34">
        <v>6</v>
      </c>
      <c r="M593" s="34">
        <v>5</v>
      </c>
      <c r="N593" s="26"/>
    </row>
    <row r="594" spans="1:14">
      <c r="A594" s="26">
        <v>112204</v>
      </c>
      <c r="B594" s="27" t="s">
        <v>604</v>
      </c>
      <c r="C594" s="26" t="s">
        <v>49</v>
      </c>
      <c r="D594" s="27" t="s">
        <v>255</v>
      </c>
      <c r="E594" s="26" t="s">
        <v>199</v>
      </c>
      <c r="F594" s="26" t="s">
        <v>199</v>
      </c>
      <c r="G594" s="28">
        <v>4000</v>
      </c>
      <c r="H594" s="26">
        <v>0</v>
      </c>
      <c r="I594" s="26">
        <v>1</v>
      </c>
      <c r="J594" s="36">
        <v>6</v>
      </c>
      <c r="K594" s="34">
        <v>2014</v>
      </c>
      <c r="L594" s="34">
        <v>6</v>
      </c>
      <c r="M594" s="34">
        <v>5</v>
      </c>
      <c r="N594" s="26"/>
    </row>
    <row r="595" spans="1:14">
      <c r="A595" s="26">
        <v>500103</v>
      </c>
      <c r="B595" s="27" t="s">
        <v>605</v>
      </c>
      <c r="C595" s="26" t="s">
        <v>157</v>
      </c>
      <c r="D595" s="27" t="s">
        <v>160</v>
      </c>
      <c r="G595" s="28">
        <v>0</v>
      </c>
      <c r="H595" s="26">
        <v>32000</v>
      </c>
      <c r="I595" s="26">
        <v>2</v>
      </c>
      <c r="J595" s="36">
        <v>1</v>
      </c>
      <c r="K595" s="34">
        <v>2014</v>
      </c>
      <c r="L595" s="34">
        <v>6</v>
      </c>
      <c r="M595" s="34">
        <v>30</v>
      </c>
      <c r="N595" s="26"/>
    </row>
    <row r="596" spans="1:14">
      <c r="A596" s="26">
        <v>112201</v>
      </c>
      <c r="B596" s="27" t="s">
        <v>606</v>
      </c>
      <c r="C596" s="26" t="s">
        <v>49</v>
      </c>
      <c r="D596" s="27" t="s">
        <v>50</v>
      </c>
      <c r="G596" s="28">
        <v>32000</v>
      </c>
      <c r="H596" s="26">
        <v>0</v>
      </c>
      <c r="I596" s="26">
        <v>2</v>
      </c>
      <c r="J596" s="36">
        <v>1</v>
      </c>
      <c r="K596" s="34">
        <v>2014</v>
      </c>
      <c r="L596" s="34">
        <v>6</v>
      </c>
      <c r="M596" s="34">
        <v>30</v>
      </c>
      <c r="N596" s="26"/>
    </row>
    <row r="597" spans="1:14">
      <c r="A597" s="26">
        <v>540304</v>
      </c>
      <c r="B597" s="27" t="s">
        <v>607</v>
      </c>
      <c r="C597" s="26" t="s">
        <v>165</v>
      </c>
      <c r="D597" s="27" t="s">
        <v>128</v>
      </c>
      <c r="G597" s="28">
        <v>960</v>
      </c>
      <c r="H597" s="26">
        <v>0</v>
      </c>
      <c r="I597" s="26">
        <v>3</v>
      </c>
      <c r="J597" s="36">
        <v>2</v>
      </c>
      <c r="K597" s="34">
        <v>2014</v>
      </c>
      <c r="L597" s="34">
        <v>6</v>
      </c>
      <c r="M597" s="34">
        <v>5</v>
      </c>
      <c r="N597" s="26"/>
    </row>
    <row r="598" spans="1:14">
      <c r="A598" s="26">
        <v>540301</v>
      </c>
      <c r="B598" s="27" t="s">
        <v>607</v>
      </c>
      <c r="C598" s="26" t="s">
        <v>165</v>
      </c>
      <c r="D598" s="27" t="s">
        <v>129</v>
      </c>
      <c r="G598" s="28">
        <v>67.2</v>
      </c>
      <c r="H598" s="26">
        <v>0</v>
      </c>
      <c r="I598" s="26">
        <v>3</v>
      </c>
      <c r="J598" s="36">
        <v>2</v>
      </c>
      <c r="K598" s="34">
        <v>2014</v>
      </c>
      <c r="L598" s="34">
        <v>6</v>
      </c>
      <c r="M598" s="34">
        <v>5</v>
      </c>
      <c r="N598" s="26"/>
    </row>
    <row r="599" spans="1:14">
      <c r="A599" s="26">
        <v>540302</v>
      </c>
      <c r="B599" s="27" t="s">
        <v>607</v>
      </c>
      <c r="C599" s="26" t="s">
        <v>165</v>
      </c>
      <c r="D599" s="27" t="s">
        <v>130</v>
      </c>
      <c r="G599" s="28">
        <v>48</v>
      </c>
      <c r="H599" s="26">
        <v>0</v>
      </c>
      <c r="I599" s="26">
        <v>3</v>
      </c>
      <c r="J599" s="36">
        <v>2</v>
      </c>
      <c r="K599" s="34">
        <v>2014</v>
      </c>
      <c r="L599" s="34">
        <v>6</v>
      </c>
      <c r="M599" s="34">
        <v>5</v>
      </c>
      <c r="N599" s="26"/>
    </row>
    <row r="600" spans="1:14">
      <c r="A600" s="26">
        <v>540303</v>
      </c>
      <c r="B600" s="27" t="s">
        <v>607</v>
      </c>
      <c r="C600" s="26" t="s">
        <v>165</v>
      </c>
      <c r="D600" s="27" t="s">
        <v>131</v>
      </c>
      <c r="G600" s="28">
        <v>9.6</v>
      </c>
      <c r="H600" s="26">
        <v>0</v>
      </c>
      <c r="I600" s="26">
        <v>3</v>
      </c>
      <c r="J600" s="36">
        <v>2</v>
      </c>
      <c r="K600" s="34">
        <v>2014</v>
      </c>
      <c r="L600" s="34">
        <v>6</v>
      </c>
      <c r="M600" s="34">
        <v>5</v>
      </c>
      <c r="N600" s="26"/>
    </row>
    <row r="601" spans="1:14">
      <c r="A601" s="26">
        <v>580101</v>
      </c>
      <c r="B601" s="27" t="s">
        <v>607</v>
      </c>
      <c r="C601" s="26" t="s">
        <v>183</v>
      </c>
      <c r="D601" s="27" t="s">
        <v>199</v>
      </c>
      <c r="G601" s="28">
        <v>256</v>
      </c>
      <c r="H601" s="26">
        <v>0</v>
      </c>
      <c r="I601" s="26">
        <v>3</v>
      </c>
      <c r="J601" s="36">
        <v>2</v>
      </c>
      <c r="K601" s="34">
        <v>2014</v>
      </c>
      <c r="L601" s="34">
        <v>6</v>
      </c>
      <c r="M601" s="34">
        <v>5</v>
      </c>
      <c r="N601" s="26"/>
    </row>
    <row r="602" spans="1:14">
      <c r="A602" s="26">
        <v>560206</v>
      </c>
      <c r="B602" s="27" t="s">
        <v>607</v>
      </c>
      <c r="C602" s="26" t="s">
        <v>166</v>
      </c>
      <c r="D602" s="27" t="s">
        <v>172</v>
      </c>
      <c r="G602" s="28">
        <v>32</v>
      </c>
      <c r="H602" s="26">
        <v>0</v>
      </c>
      <c r="I602" s="26">
        <v>3</v>
      </c>
      <c r="J602" s="36">
        <v>2</v>
      </c>
      <c r="K602" s="34">
        <v>2014</v>
      </c>
      <c r="L602" s="34">
        <v>6</v>
      </c>
      <c r="M602" s="34">
        <v>5</v>
      </c>
      <c r="N602" s="26"/>
    </row>
    <row r="603" spans="1:14">
      <c r="A603" s="26">
        <v>222102</v>
      </c>
      <c r="B603" s="27" t="s">
        <v>607</v>
      </c>
      <c r="C603" s="26" t="s">
        <v>126</v>
      </c>
      <c r="D603" s="27" t="s">
        <v>128</v>
      </c>
      <c r="G603" s="28">
        <v>0</v>
      </c>
      <c r="H603" s="26">
        <v>960</v>
      </c>
      <c r="I603" s="26">
        <v>3</v>
      </c>
      <c r="J603" s="36">
        <v>2</v>
      </c>
      <c r="K603" s="34">
        <v>2014</v>
      </c>
      <c r="L603" s="34">
        <v>6</v>
      </c>
      <c r="M603" s="34">
        <v>5</v>
      </c>
      <c r="N603" s="26"/>
    </row>
    <row r="604" spans="1:14">
      <c r="A604" s="26">
        <v>222103</v>
      </c>
      <c r="B604" s="27" t="s">
        <v>607</v>
      </c>
      <c r="C604" s="26" t="s">
        <v>126</v>
      </c>
      <c r="D604" s="27" t="s">
        <v>129</v>
      </c>
      <c r="G604" s="28">
        <v>0</v>
      </c>
      <c r="H604" s="26">
        <v>67.2</v>
      </c>
      <c r="I604" s="26">
        <v>3</v>
      </c>
      <c r="J604" s="36">
        <v>2</v>
      </c>
      <c r="K604" s="34">
        <v>2014</v>
      </c>
      <c r="L604" s="34">
        <v>6</v>
      </c>
      <c r="M604" s="34">
        <v>5</v>
      </c>
      <c r="N604" s="26"/>
    </row>
    <row r="605" spans="1:14">
      <c r="A605" s="26">
        <v>222104</v>
      </c>
      <c r="B605" s="27" t="s">
        <v>607</v>
      </c>
      <c r="C605" s="26" t="s">
        <v>126</v>
      </c>
      <c r="D605" s="27" t="s">
        <v>130</v>
      </c>
      <c r="G605" s="28">
        <v>0</v>
      </c>
      <c r="H605" s="26">
        <v>48</v>
      </c>
      <c r="I605" s="26">
        <v>3</v>
      </c>
      <c r="J605" s="36">
        <v>2</v>
      </c>
      <c r="K605" s="34">
        <v>2014</v>
      </c>
      <c r="L605" s="34">
        <v>6</v>
      </c>
      <c r="M605" s="34">
        <v>5</v>
      </c>
      <c r="N605" s="26"/>
    </row>
    <row r="606" spans="1:14">
      <c r="A606" s="26">
        <v>222105</v>
      </c>
      <c r="B606" s="27" t="s">
        <v>607</v>
      </c>
      <c r="C606" s="26" t="s">
        <v>126</v>
      </c>
      <c r="D606" s="27" t="s">
        <v>131</v>
      </c>
      <c r="G606" s="28">
        <v>0</v>
      </c>
      <c r="H606" s="26">
        <v>9.6</v>
      </c>
      <c r="I606" s="26">
        <v>3</v>
      </c>
      <c r="J606" s="36">
        <v>2</v>
      </c>
      <c r="K606" s="34">
        <v>2014</v>
      </c>
      <c r="L606" s="34">
        <v>6</v>
      </c>
      <c r="M606" s="34">
        <v>5</v>
      </c>
      <c r="N606" s="26"/>
    </row>
    <row r="607" spans="1:14">
      <c r="A607" s="26">
        <v>222106</v>
      </c>
      <c r="B607" s="27" t="s">
        <v>607</v>
      </c>
      <c r="C607" s="26" t="s">
        <v>126</v>
      </c>
      <c r="D607" s="27" t="s">
        <v>132</v>
      </c>
      <c r="G607" s="28">
        <v>0</v>
      </c>
      <c r="H607" s="26">
        <v>256</v>
      </c>
      <c r="I607" s="26">
        <v>3</v>
      </c>
      <c r="J607" s="36">
        <v>2</v>
      </c>
      <c r="K607" s="34">
        <v>2014</v>
      </c>
      <c r="L607" s="34">
        <v>6</v>
      </c>
      <c r="M607" s="34">
        <v>5</v>
      </c>
      <c r="N607" s="26"/>
    </row>
    <row r="608" spans="1:14">
      <c r="A608" s="26">
        <v>224104</v>
      </c>
      <c r="B608" s="27" t="s">
        <v>607</v>
      </c>
      <c r="C608" s="26" t="s">
        <v>140</v>
      </c>
      <c r="D608" s="27" t="s">
        <v>142</v>
      </c>
      <c r="G608" s="28">
        <v>0</v>
      </c>
      <c r="H608" s="26">
        <v>32</v>
      </c>
      <c r="I608" s="26">
        <v>3</v>
      </c>
      <c r="J608" s="36">
        <v>2</v>
      </c>
      <c r="K608" s="34">
        <v>2014</v>
      </c>
      <c r="L608" s="34">
        <v>6</v>
      </c>
      <c r="M608" s="34">
        <v>5</v>
      </c>
      <c r="N608" s="26"/>
    </row>
    <row r="609" spans="1:14">
      <c r="A609" s="26">
        <v>560201</v>
      </c>
      <c r="B609" s="27" t="s">
        <v>608</v>
      </c>
      <c r="C609" s="26" t="s">
        <v>166</v>
      </c>
      <c r="D609" s="27" t="s">
        <v>167</v>
      </c>
      <c r="G609" s="28">
        <v>1880</v>
      </c>
      <c r="H609" s="26">
        <v>0</v>
      </c>
      <c r="I609" s="26">
        <v>4</v>
      </c>
      <c r="J609" s="36">
        <v>3</v>
      </c>
      <c r="K609" s="34">
        <v>2014</v>
      </c>
      <c r="L609" s="34">
        <v>6</v>
      </c>
      <c r="M609" s="34">
        <v>5</v>
      </c>
      <c r="N609" s="26"/>
    </row>
    <row r="610" spans="1:14">
      <c r="A610" s="26">
        <v>112311</v>
      </c>
      <c r="B610" s="27" t="s">
        <v>609</v>
      </c>
      <c r="C610" s="26" t="s">
        <v>64</v>
      </c>
      <c r="D610" s="27" t="s">
        <v>70</v>
      </c>
      <c r="G610" s="28">
        <v>4800</v>
      </c>
      <c r="H610" s="26">
        <v>0</v>
      </c>
      <c r="I610" s="26">
        <v>4</v>
      </c>
      <c r="J610" s="36">
        <v>3</v>
      </c>
      <c r="K610" s="34">
        <v>2014</v>
      </c>
      <c r="L610" s="34">
        <v>6</v>
      </c>
      <c r="M610" s="34">
        <v>5</v>
      </c>
      <c r="N610" s="26"/>
    </row>
    <row r="611" spans="1:14">
      <c r="A611" s="26">
        <v>100201</v>
      </c>
      <c r="B611" s="27" t="s">
        <v>610</v>
      </c>
      <c r="C611" s="26" t="s">
        <v>47</v>
      </c>
      <c r="D611" s="27" t="s">
        <v>48</v>
      </c>
      <c r="G611" s="28">
        <v>0</v>
      </c>
      <c r="H611" s="26">
        <v>6680</v>
      </c>
      <c r="I611" s="26">
        <v>4</v>
      </c>
      <c r="J611" s="36">
        <v>3</v>
      </c>
      <c r="K611" s="34">
        <v>2014</v>
      </c>
      <c r="L611" s="34">
        <v>6</v>
      </c>
      <c r="M611" s="34">
        <v>5</v>
      </c>
      <c r="N611" s="26"/>
    </row>
    <row r="612" spans="1:14">
      <c r="A612" s="26">
        <v>560208</v>
      </c>
      <c r="B612" s="27" t="s">
        <v>611</v>
      </c>
      <c r="C612" s="26" t="s">
        <v>166</v>
      </c>
      <c r="D612" s="27" t="s">
        <v>174</v>
      </c>
      <c r="G612" s="28">
        <v>1408</v>
      </c>
      <c r="H612" s="26">
        <v>0</v>
      </c>
      <c r="I612" s="26">
        <v>5</v>
      </c>
      <c r="J612" s="36">
        <v>4</v>
      </c>
      <c r="K612" s="34">
        <v>2014</v>
      </c>
      <c r="L612" s="34">
        <v>6</v>
      </c>
      <c r="M612" s="34">
        <v>5</v>
      </c>
      <c r="N612" s="26"/>
    </row>
    <row r="613" spans="1:14">
      <c r="A613" s="26">
        <v>100201</v>
      </c>
      <c r="B613" s="27" t="s">
        <v>612</v>
      </c>
      <c r="C613" s="26" t="s">
        <v>47</v>
      </c>
      <c r="D613" s="27" t="s">
        <v>48</v>
      </c>
      <c r="G613" s="28">
        <v>0</v>
      </c>
      <c r="H613" s="26">
        <v>4145</v>
      </c>
      <c r="I613" s="26">
        <v>5</v>
      </c>
      <c r="J613" s="36">
        <v>4</v>
      </c>
      <c r="K613" s="34">
        <v>2014</v>
      </c>
      <c r="L613" s="34">
        <v>6</v>
      </c>
      <c r="M613" s="34">
        <v>5</v>
      </c>
      <c r="N613" s="26"/>
    </row>
    <row r="614" spans="1:14">
      <c r="A614" s="26">
        <v>160107</v>
      </c>
      <c r="B614" s="27" t="s">
        <v>98</v>
      </c>
      <c r="C614" s="26" t="s">
        <v>91</v>
      </c>
      <c r="D614" s="27" t="s">
        <v>98</v>
      </c>
      <c r="G614" s="28">
        <v>2737</v>
      </c>
      <c r="H614" s="26">
        <v>0</v>
      </c>
      <c r="I614" s="26">
        <v>5</v>
      </c>
      <c r="J614" s="36">
        <v>4</v>
      </c>
      <c r="K614" s="34">
        <v>2014</v>
      </c>
      <c r="L614" s="34">
        <v>6</v>
      </c>
      <c r="M614" s="34">
        <v>5</v>
      </c>
      <c r="N614" s="26"/>
    </row>
    <row r="615" spans="1:14">
      <c r="A615" s="26">
        <v>221101</v>
      </c>
      <c r="B615" s="27" t="s">
        <v>613</v>
      </c>
      <c r="C615" s="26" t="s">
        <v>113</v>
      </c>
      <c r="D615" s="27" t="s">
        <v>114</v>
      </c>
      <c r="G615" s="28">
        <v>20420</v>
      </c>
      <c r="H615" s="26">
        <v>0</v>
      </c>
      <c r="I615" s="26">
        <v>6</v>
      </c>
      <c r="J615" s="36">
        <v>2</v>
      </c>
      <c r="K615" s="34">
        <v>2014</v>
      </c>
      <c r="L615" s="34">
        <v>6</v>
      </c>
      <c r="M615" s="34">
        <v>5</v>
      </c>
      <c r="N615" s="26"/>
    </row>
    <row r="616" spans="1:14">
      <c r="A616" s="26">
        <v>221104</v>
      </c>
      <c r="B616" s="27" t="s">
        <v>613</v>
      </c>
      <c r="C616" s="26" t="s">
        <v>113</v>
      </c>
      <c r="D616" s="27" t="s">
        <v>117</v>
      </c>
      <c r="G616" s="28">
        <v>0</v>
      </c>
      <c r="H616" s="26">
        <v>748.65</v>
      </c>
      <c r="I616" s="26">
        <v>6</v>
      </c>
      <c r="J616" s="36">
        <v>2</v>
      </c>
      <c r="K616" s="34">
        <v>2014</v>
      </c>
      <c r="L616" s="34">
        <v>6</v>
      </c>
      <c r="M616" s="34">
        <v>5</v>
      </c>
      <c r="N616" s="26"/>
    </row>
    <row r="617" spans="1:14">
      <c r="A617" s="26">
        <v>224105</v>
      </c>
      <c r="B617" s="27" t="s">
        <v>613</v>
      </c>
      <c r="C617" s="26" t="s">
        <v>140</v>
      </c>
      <c r="D617" s="27" t="s">
        <v>614</v>
      </c>
      <c r="G617" s="28">
        <v>0</v>
      </c>
      <c r="H617" s="26">
        <v>19671.35</v>
      </c>
      <c r="I617" s="26">
        <v>6</v>
      </c>
      <c r="J617" s="36">
        <v>2</v>
      </c>
      <c r="K617" s="34">
        <v>2014</v>
      </c>
      <c r="L617" s="34">
        <v>6</v>
      </c>
      <c r="M617" s="34">
        <v>5</v>
      </c>
      <c r="N617" s="26"/>
    </row>
    <row r="618" spans="1:14">
      <c r="A618" s="26">
        <v>224101</v>
      </c>
      <c r="B618" s="27" t="s">
        <v>615</v>
      </c>
      <c r="C618" s="26" t="s">
        <v>140</v>
      </c>
      <c r="D618" s="27" t="s">
        <v>12</v>
      </c>
      <c r="G618" s="28">
        <v>32000</v>
      </c>
      <c r="H618" s="26">
        <v>0</v>
      </c>
      <c r="I618" s="26">
        <v>7</v>
      </c>
      <c r="J618" s="36">
        <v>1</v>
      </c>
      <c r="K618" s="34">
        <v>2014</v>
      </c>
      <c r="L618" s="34">
        <v>6</v>
      </c>
      <c r="M618" s="34">
        <v>5</v>
      </c>
      <c r="N618" s="26"/>
    </row>
    <row r="619" spans="1:14">
      <c r="A619" s="26">
        <v>100201</v>
      </c>
      <c r="B619" s="27" t="s">
        <v>615</v>
      </c>
      <c r="C619" s="26" t="s">
        <v>47</v>
      </c>
      <c r="D619" s="27" t="s">
        <v>48</v>
      </c>
      <c r="G619" s="28">
        <v>0</v>
      </c>
      <c r="H619" s="26">
        <v>32000</v>
      </c>
      <c r="I619" s="26">
        <v>7</v>
      </c>
      <c r="J619" s="36">
        <v>1</v>
      </c>
      <c r="K619" s="34">
        <v>2014</v>
      </c>
      <c r="L619" s="34">
        <v>6</v>
      </c>
      <c r="M619" s="34">
        <v>5</v>
      </c>
      <c r="N619" s="26"/>
    </row>
    <row r="620" spans="1:14">
      <c r="A620" s="26">
        <v>222128</v>
      </c>
      <c r="B620" s="27" t="s">
        <v>616</v>
      </c>
      <c r="C620" s="26" t="s">
        <v>126</v>
      </c>
      <c r="D620" s="27" t="s">
        <v>139</v>
      </c>
      <c r="G620" s="28">
        <v>370</v>
      </c>
      <c r="H620" s="26">
        <v>0</v>
      </c>
      <c r="I620" s="26">
        <v>8</v>
      </c>
      <c r="J620" s="36">
        <v>1</v>
      </c>
      <c r="K620" s="34">
        <v>2014</v>
      </c>
      <c r="L620" s="34">
        <v>6</v>
      </c>
      <c r="M620" s="34">
        <v>5</v>
      </c>
      <c r="N620" s="26"/>
    </row>
    <row r="621" spans="1:14">
      <c r="A621" s="26">
        <v>100101</v>
      </c>
      <c r="B621" s="27" t="s">
        <v>617</v>
      </c>
      <c r="C621" s="26" t="s">
        <v>46</v>
      </c>
      <c r="D621" s="27" t="s">
        <v>199</v>
      </c>
      <c r="G621" s="28">
        <v>0</v>
      </c>
      <c r="H621" s="26">
        <v>370</v>
      </c>
      <c r="I621" s="26">
        <v>8</v>
      </c>
      <c r="J621" s="36">
        <v>1</v>
      </c>
      <c r="K621" s="34">
        <v>2014</v>
      </c>
      <c r="L621" s="34">
        <v>6</v>
      </c>
      <c r="M621" s="34">
        <v>5</v>
      </c>
      <c r="N621" s="26"/>
    </row>
    <row r="622" spans="1:14">
      <c r="A622" s="26">
        <v>560206</v>
      </c>
      <c r="B622" s="27" t="s">
        <v>617</v>
      </c>
      <c r="C622" s="26" t="s">
        <v>166</v>
      </c>
      <c r="D622" s="27" t="s">
        <v>172</v>
      </c>
      <c r="E622" s="26" t="s">
        <v>199</v>
      </c>
      <c r="F622" s="26" t="s">
        <v>199</v>
      </c>
      <c r="G622" s="28">
        <v>370</v>
      </c>
      <c r="H622" s="26">
        <v>0</v>
      </c>
      <c r="I622" s="26">
        <v>8</v>
      </c>
      <c r="J622" s="36">
        <v>1</v>
      </c>
      <c r="K622" s="34">
        <v>2014</v>
      </c>
      <c r="L622" s="34">
        <v>6</v>
      </c>
      <c r="M622" s="34">
        <v>5</v>
      </c>
      <c r="N622" s="26"/>
    </row>
    <row r="623" spans="1:14">
      <c r="A623" s="26">
        <v>530101</v>
      </c>
      <c r="B623" s="27" t="s">
        <v>617</v>
      </c>
      <c r="C623" s="26" t="s">
        <v>179</v>
      </c>
      <c r="D623" s="27" t="s">
        <v>199</v>
      </c>
      <c r="E623" s="26" t="s">
        <v>199</v>
      </c>
      <c r="F623" s="26" t="s">
        <v>199</v>
      </c>
      <c r="G623" s="28">
        <v>0</v>
      </c>
      <c r="H623" s="26">
        <v>370</v>
      </c>
      <c r="I623" s="26">
        <v>8</v>
      </c>
      <c r="J623" s="36">
        <v>1</v>
      </c>
      <c r="K623" s="34">
        <v>2014</v>
      </c>
      <c r="L623" s="34">
        <v>6</v>
      </c>
      <c r="M623" s="34">
        <v>5</v>
      </c>
      <c r="N623" s="26"/>
    </row>
    <row r="624" spans="1:14">
      <c r="A624" s="26">
        <v>560203</v>
      </c>
      <c r="B624" s="27" t="s">
        <v>618</v>
      </c>
      <c r="C624" s="26" t="s">
        <v>166</v>
      </c>
      <c r="D624" s="27" t="s">
        <v>169</v>
      </c>
      <c r="G624" s="28">
        <v>125</v>
      </c>
      <c r="H624" s="26">
        <v>0</v>
      </c>
      <c r="I624" s="26">
        <v>9</v>
      </c>
      <c r="J624" s="36">
        <v>1</v>
      </c>
      <c r="K624" s="34">
        <v>2014</v>
      </c>
      <c r="L624" s="34">
        <v>6</v>
      </c>
      <c r="M624" s="34">
        <v>5</v>
      </c>
      <c r="N624" s="26"/>
    </row>
    <row r="625" spans="1:14">
      <c r="A625" s="26">
        <v>100101</v>
      </c>
      <c r="B625" s="27" t="s">
        <v>619</v>
      </c>
      <c r="C625" s="26" t="s">
        <v>46</v>
      </c>
      <c r="D625" s="27" t="s">
        <v>199</v>
      </c>
      <c r="G625" s="28">
        <v>0</v>
      </c>
      <c r="H625" s="26">
        <v>125</v>
      </c>
      <c r="I625" s="26">
        <v>9</v>
      </c>
      <c r="J625" s="36">
        <v>1</v>
      </c>
      <c r="K625" s="34">
        <v>2014</v>
      </c>
      <c r="L625" s="34">
        <v>6</v>
      </c>
      <c r="M625" s="34">
        <v>5</v>
      </c>
      <c r="N625" s="26"/>
    </row>
    <row r="626" spans="1:14">
      <c r="A626" s="26">
        <v>100101</v>
      </c>
      <c r="B626" s="27" t="s">
        <v>620</v>
      </c>
      <c r="C626" s="26" t="s">
        <v>46</v>
      </c>
      <c r="D626" s="27" t="s">
        <v>199</v>
      </c>
      <c r="G626" s="28">
        <v>14500</v>
      </c>
      <c r="H626" s="26">
        <v>0</v>
      </c>
      <c r="I626" s="26">
        <v>10</v>
      </c>
      <c r="J626" s="36">
        <v>1</v>
      </c>
      <c r="K626" s="34">
        <v>2014</v>
      </c>
      <c r="L626" s="34">
        <v>6</v>
      </c>
      <c r="M626" s="34">
        <v>5</v>
      </c>
      <c r="N626" s="26"/>
    </row>
    <row r="627" spans="1:14">
      <c r="A627" s="26">
        <v>224101</v>
      </c>
      <c r="B627" s="27" t="s">
        <v>621</v>
      </c>
      <c r="C627" s="26" t="s">
        <v>140</v>
      </c>
      <c r="D627" s="27" t="s">
        <v>12</v>
      </c>
      <c r="G627" s="28">
        <v>0</v>
      </c>
      <c r="H627" s="26">
        <v>14500</v>
      </c>
      <c r="I627" s="26">
        <v>10</v>
      </c>
      <c r="J627" s="36">
        <v>1</v>
      </c>
      <c r="K627" s="34">
        <v>2014</v>
      </c>
      <c r="L627" s="34">
        <v>6</v>
      </c>
      <c r="M627" s="34">
        <v>5</v>
      </c>
      <c r="N627" s="26"/>
    </row>
    <row r="628" spans="1:14">
      <c r="A628" s="26">
        <v>560202</v>
      </c>
      <c r="B628" s="27" t="s">
        <v>622</v>
      </c>
      <c r="C628" s="26" t="s">
        <v>166</v>
      </c>
      <c r="D628" s="27" t="s">
        <v>168</v>
      </c>
      <c r="G628" s="28">
        <v>564</v>
      </c>
      <c r="H628" s="26">
        <v>0</v>
      </c>
      <c r="I628" s="26">
        <v>11</v>
      </c>
      <c r="J628" s="36">
        <v>1</v>
      </c>
      <c r="K628" s="34">
        <v>2014</v>
      </c>
      <c r="L628" s="34">
        <v>6</v>
      </c>
      <c r="M628" s="34">
        <v>5</v>
      </c>
      <c r="N628" s="26"/>
    </row>
    <row r="629" spans="1:14">
      <c r="A629" s="26">
        <v>160201</v>
      </c>
      <c r="B629" s="27" t="s">
        <v>622</v>
      </c>
      <c r="C629" s="26" t="s">
        <v>99</v>
      </c>
      <c r="D629" s="27" t="s">
        <v>92</v>
      </c>
      <c r="G629" s="28">
        <v>0</v>
      </c>
      <c r="H629" s="26">
        <v>89</v>
      </c>
      <c r="I629" s="26">
        <v>11</v>
      </c>
      <c r="J629" s="36">
        <v>1</v>
      </c>
      <c r="K629" s="34">
        <v>2014</v>
      </c>
      <c r="L629" s="34">
        <v>6</v>
      </c>
      <c r="M629" s="34">
        <v>5</v>
      </c>
      <c r="N629" s="26"/>
    </row>
    <row r="630" spans="1:14">
      <c r="A630" s="26">
        <v>160202</v>
      </c>
      <c r="B630" s="27" t="s">
        <v>622</v>
      </c>
      <c r="C630" s="26" t="s">
        <v>99</v>
      </c>
      <c r="D630" s="27" t="s">
        <v>93</v>
      </c>
      <c r="G630" s="28">
        <v>0</v>
      </c>
      <c r="H630" s="26">
        <v>122</v>
      </c>
      <c r="I630" s="26">
        <v>11</v>
      </c>
      <c r="J630" s="36">
        <v>1</v>
      </c>
      <c r="K630" s="34">
        <v>2014</v>
      </c>
      <c r="L630" s="34">
        <v>6</v>
      </c>
      <c r="M630" s="34">
        <v>5</v>
      </c>
      <c r="N630" s="26"/>
    </row>
    <row r="631" spans="1:14">
      <c r="A631" s="26">
        <v>160203</v>
      </c>
      <c r="B631" s="27" t="s">
        <v>622</v>
      </c>
      <c r="C631" s="26" t="s">
        <v>99</v>
      </c>
      <c r="D631" s="27" t="s">
        <v>94</v>
      </c>
      <c r="G631" s="28">
        <v>0</v>
      </c>
      <c r="H631" s="26">
        <v>107</v>
      </c>
      <c r="I631" s="26">
        <v>11</v>
      </c>
      <c r="J631" s="36">
        <v>1</v>
      </c>
      <c r="K631" s="34">
        <v>2014</v>
      </c>
      <c r="L631" s="34">
        <v>6</v>
      </c>
      <c r="M631" s="34">
        <v>5</v>
      </c>
      <c r="N631" s="26"/>
    </row>
    <row r="632" spans="1:14">
      <c r="A632" s="26">
        <v>160204</v>
      </c>
      <c r="B632" s="27" t="s">
        <v>622</v>
      </c>
      <c r="C632" s="26" t="s">
        <v>99</v>
      </c>
      <c r="D632" s="27" t="s">
        <v>95</v>
      </c>
      <c r="G632" s="28">
        <v>0</v>
      </c>
      <c r="H632" s="26">
        <v>58</v>
      </c>
      <c r="I632" s="26">
        <v>11</v>
      </c>
      <c r="J632" s="36">
        <v>1</v>
      </c>
      <c r="K632" s="34">
        <v>2014</v>
      </c>
      <c r="L632" s="34">
        <v>6</v>
      </c>
      <c r="M632" s="34">
        <v>5</v>
      </c>
      <c r="N632" s="26"/>
    </row>
    <row r="633" spans="1:14">
      <c r="A633" s="26">
        <v>160205</v>
      </c>
      <c r="B633" s="27" t="s">
        <v>622</v>
      </c>
      <c r="C633" s="26" t="s">
        <v>99</v>
      </c>
      <c r="D633" s="27" t="s">
        <v>96</v>
      </c>
      <c r="G633" s="28">
        <v>0</v>
      </c>
      <c r="H633" s="26">
        <v>69</v>
      </c>
      <c r="I633" s="26">
        <v>11</v>
      </c>
      <c r="J633" s="36">
        <v>1</v>
      </c>
      <c r="K633" s="34">
        <v>2014</v>
      </c>
      <c r="L633" s="34">
        <v>6</v>
      </c>
      <c r="M633" s="34">
        <v>5</v>
      </c>
      <c r="N633" s="26"/>
    </row>
    <row r="634" spans="1:14">
      <c r="A634" s="26">
        <v>160206</v>
      </c>
      <c r="B634" s="27" t="s">
        <v>622</v>
      </c>
      <c r="C634" s="26" t="s">
        <v>99</v>
      </c>
      <c r="D634" s="27" t="s">
        <v>97</v>
      </c>
      <c r="G634" s="28">
        <v>0</v>
      </c>
      <c r="H634" s="26">
        <v>73</v>
      </c>
      <c r="I634" s="26">
        <v>11</v>
      </c>
      <c r="J634" s="36">
        <v>1</v>
      </c>
      <c r="K634" s="34">
        <v>2014</v>
      </c>
      <c r="L634" s="34">
        <v>6</v>
      </c>
      <c r="M634" s="34">
        <v>5</v>
      </c>
      <c r="N634" s="26"/>
    </row>
    <row r="635" spans="1:14">
      <c r="A635" s="26">
        <v>160207</v>
      </c>
      <c r="B635" s="27" t="s">
        <v>622</v>
      </c>
      <c r="C635" s="26" t="s">
        <v>99</v>
      </c>
      <c r="D635" s="27" t="s">
        <v>98</v>
      </c>
      <c r="G635" s="28">
        <v>0</v>
      </c>
      <c r="H635" s="26">
        <v>46</v>
      </c>
      <c r="I635" s="26">
        <v>11</v>
      </c>
      <c r="J635" s="36">
        <v>1</v>
      </c>
      <c r="K635" s="34">
        <v>2014</v>
      </c>
      <c r="L635" s="34">
        <v>6</v>
      </c>
      <c r="M635" s="34">
        <v>5</v>
      </c>
      <c r="N635" s="26"/>
    </row>
    <row r="636" spans="1:14">
      <c r="A636" s="26">
        <v>560201</v>
      </c>
      <c r="B636" s="27" t="s">
        <v>623</v>
      </c>
      <c r="C636" s="26" t="s">
        <v>166</v>
      </c>
      <c r="D636" s="27" t="s">
        <v>167</v>
      </c>
      <c r="G636" s="28">
        <v>20420</v>
      </c>
      <c r="H636" s="26">
        <v>0</v>
      </c>
      <c r="I636" s="26">
        <v>12</v>
      </c>
      <c r="J636" s="36">
        <v>1</v>
      </c>
      <c r="K636" s="34">
        <v>2014</v>
      </c>
      <c r="L636" s="34">
        <v>6</v>
      </c>
      <c r="M636" s="34">
        <v>5</v>
      </c>
      <c r="N636" s="26"/>
    </row>
    <row r="637" spans="1:14">
      <c r="A637" s="26">
        <v>560210</v>
      </c>
      <c r="B637" s="27" t="s">
        <v>623</v>
      </c>
      <c r="C637" s="26" t="s">
        <v>166</v>
      </c>
      <c r="D637" s="27" t="s">
        <v>176</v>
      </c>
      <c r="G637" s="28">
        <v>2012.52</v>
      </c>
      <c r="H637" s="26">
        <v>0</v>
      </c>
      <c r="I637" s="26">
        <v>12</v>
      </c>
      <c r="J637" s="36">
        <v>1</v>
      </c>
      <c r="K637" s="34">
        <v>2014</v>
      </c>
      <c r="L637" s="34">
        <v>6</v>
      </c>
      <c r="M637" s="34">
        <v>5</v>
      </c>
      <c r="N637" s="26"/>
    </row>
    <row r="638" spans="1:14">
      <c r="A638" s="26">
        <v>221101</v>
      </c>
      <c r="B638" s="27" t="s">
        <v>623</v>
      </c>
      <c r="C638" s="26" t="s">
        <v>113</v>
      </c>
      <c r="D638" s="27" t="s">
        <v>114</v>
      </c>
      <c r="G638" s="28">
        <v>0</v>
      </c>
      <c r="H638" s="26">
        <v>20420</v>
      </c>
      <c r="I638" s="26">
        <v>12</v>
      </c>
      <c r="J638" s="36">
        <v>1</v>
      </c>
      <c r="K638" s="34">
        <v>2014</v>
      </c>
      <c r="L638" s="34">
        <v>6</v>
      </c>
      <c r="M638" s="34">
        <v>5</v>
      </c>
      <c r="N638" s="26"/>
    </row>
    <row r="639" spans="1:14">
      <c r="A639" s="26">
        <v>221104</v>
      </c>
      <c r="B639" s="27" t="s">
        <v>623</v>
      </c>
      <c r="C639" s="26" t="s">
        <v>113</v>
      </c>
      <c r="D639" s="27" t="s">
        <v>117</v>
      </c>
      <c r="G639" s="28">
        <v>0</v>
      </c>
      <c r="H639" s="26">
        <v>2012.52</v>
      </c>
      <c r="I639" s="26">
        <v>12</v>
      </c>
      <c r="J639" s="36">
        <v>1</v>
      </c>
      <c r="K639" s="34">
        <v>2014</v>
      </c>
      <c r="L639" s="34">
        <v>6</v>
      </c>
      <c r="M639" s="34">
        <v>5</v>
      </c>
      <c r="N639" s="26"/>
    </row>
    <row r="640" spans="1:14">
      <c r="A640" s="26">
        <v>560201</v>
      </c>
      <c r="B640" s="27" t="s">
        <v>624</v>
      </c>
      <c r="C640" s="26" t="s">
        <v>166</v>
      </c>
      <c r="D640" s="27" t="s">
        <v>167</v>
      </c>
      <c r="G640" s="28">
        <v>55000</v>
      </c>
      <c r="H640" s="26">
        <v>0</v>
      </c>
      <c r="I640" s="26">
        <v>13</v>
      </c>
      <c r="J640" s="36">
        <v>1</v>
      </c>
      <c r="K640" s="34">
        <v>2014</v>
      </c>
      <c r="L640" s="34">
        <v>6</v>
      </c>
      <c r="M640" s="34">
        <v>5</v>
      </c>
      <c r="N640" s="26"/>
    </row>
    <row r="641" spans="1:14">
      <c r="A641" s="26">
        <v>221101</v>
      </c>
      <c r="B641" s="27" t="s">
        <v>624</v>
      </c>
      <c r="C641" s="26" t="s">
        <v>113</v>
      </c>
      <c r="D641" s="27" t="s">
        <v>114</v>
      </c>
      <c r="G641" s="28">
        <v>0</v>
      </c>
      <c r="H641" s="26">
        <v>55000</v>
      </c>
      <c r="I641" s="26">
        <v>13</v>
      </c>
      <c r="J641" s="36">
        <v>1</v>
      </c>
      <c r="K641" s="34">
        <v>2014</v>
      </c>
      <c r="L641" s="34">
        <v>6</v>
      </c>
      <c r="M641" s="34">
        <v>5</v>
      </c>
      <c r="N641" s="26"/>
    </row>
    <row r="642" spans="1:14">
      <c r="A642" s="26">
        <v>560301</v>
      </c>
      <c r="B642" s="27" t="s">
        <v>625</v>
      </c>
      <c r="C642" s="26" t="s">
        <v>177</v>
      </c>
      <c r="D642" s="27" t="s">
        <v>199</v>
      </c>
      <c r="G642" s="28">
        <v>2</v>
      </c>
      <c r="H642" s="26">
        <v>0</v>
      </c>
      <c r="I642" s="26">
        <v>14</v>
      </c>
      <c r="J642" s="36">
        <v>2</v>
      </c>
      <c r="K642" s="34">
        <v>2014</v>
      </c>
      <c r="L642" s="34">
        <v>6</v>
      </c>
      <c r="M642" s="34">
        <v>5</v>
      </c>
      <c r="N642" s="26"/>
    </row>
    <row r="643" spans="1:14">
      <c r="A643" s="26">
        <v>100201</v>
      </c>
      <c r="B643" s="27" t="s">
        <v>626</v>
      </c>
      <c r="C643" s="26" t="s">
        <v>47</v>
      </c>
      <c r="D643" s="27" t="s">
        <v>48</v>
      </c>
      <c r="G643" s="28">
        <v>0</v>
      </c>
      <c r="H643" s="26">
        <v>1</v>
      </c>
      <c r="I643" s="26">
        <v>14</v>
      </c>
      <c r="J643" s="36">
        <v>2</v>
      </c>
      <c r="K643" s="34">
        <v>2014</v>
      </c>
      <c r="L643" s="34">
        <v>6</v>
      </c>
      <c r="M643" s="34">
        <v>5</v>
      </c>
      <c r="N643" s="26"/>
    </row>
    <row r="644" spans="1:14">
      <c r="A644" s="26">
        <v>100201</v>
      </c>
      <c r="B644" s="27" t="s">
        <v>627</v>
      </c>
      <c r="C644" s="26" t="s">
        <v>47</v>
      </c>
      <c r="D644" s="27" t="s">
        <v>48</v>
      </c>
      <c r="G644" s="28">
        <v>0</v>
      </c>
      <c r="H644" s="26">
        <v>1</v>
      </c>
      <c r="I644" s="26">
        <v>14</v>
      </c>
      <c r="J644" s="36">
        <v>2</v>
      </c>
      <c r="K644" s="34">
        <v>2014</v>
      </c>
      <c r="L644" s="34">
        <v>6</v>
      </c>
      <c r="M644" s="34">
        <v>5</v>
      </c>
      <c r="N644" s="26"/>
    </row>
    <row r="645" spans="1:14">
      <c r="A645" s="26">
        <v>100201</v>
      </c>
      <c r="B645" s="27" t="s">
        <v>628</v>
      </c>
      <c r="C645" s="26" t="s">
        <v>47</v>
      </c>
      <c r="D645" s="27" t="s">
        <v>48</v>
      </c>
      <c r="G645" s="28">
        <v>38000</v>
      </c>
      <c r="H645" s="26">
        <v>0</v>
      </c>
      <c r="I645" s="26">
        <v>15</v>
      </c>
      <c r="J645" s="36">
        <v>1</v>
      </c>
      <c r="K645" s="34">
        <v>2014</v>
      </c>
      <c r="L645" s="34">
        <v>6</v>
      </c>
      <c r="M645" s="34">
        <v>5</v>
      </c>
      <c r="N645" s="26"/>
    </row>
    <row r="646" spans="1:14">
      <c r="A646" s="26">
        <v>220303</v>
      </c>
      <c r="B646" s="27" t="s">
        <v>628</v>
      </c>
      <c r="C646" s="26" t="s">
        <v>107</v>
      </c>
      <c r="D646" s="27" t="s">
        <v>109</v>
      </c>
      <c r="G646" s="28">
        <v>0</v>
      </c>
      <c r="H646" s="26">
        <v>38000</v>
      </c>
      <c r="I646" s="26">
        <v>15</v>
      </c>
      <c r="J646" s="36">
        <v>1</v>
      </c>
      <c r="K646" s="34">
        <v>2014</v>
      </c>
      <c r="L646" s="34">
        <v>6</v>
      </c>
      <c r="M646" s="34">
        <v>5</v>
      </c>
      <c r="N646" s="26"/>
    </row>
    <row r="647" spans="1:14">
      <c r="A647" s="26">
        <v>100201</v>
      </c>
      <c r="B647" s="27" t="s">
        <v>629</v>
      </c>
      <c r="C647" s="26" t="s">
        <v>47</v>
      </c>
      <c r="D647" s="27" t="s">
        <v>48</v>
      </c>
      <c r="G647" s="28">
        <v>3000</v>
      </c>
      <c r="H647" s="26">
        <v>0</v>
      </c>
      <c r="I647" s="26">
        <v>16</v>
      </c>
      <c r="J647" s="36">
        <v>2</v>
      </c>
      <c r="K647" s="34">
        <v>2014</v>
      </c>
      <c r="L647" s="34">
        <v>6</v>
      </c>
      <c r="M647" s="34">
        <v>5</v>
      </c>
      <c r="N647" s="26"/>
    </row>
    <row r="648" spans="1:14">
      <c r="A648" s="26">
        <v>100201</v>
      </c>
      <c r="B648" s="27" t="s">
        <v>630</v>
      </c>
      <c r="C648" s="26" t="s">
        <v>47</v>
      </c>
      <c r="D648" s="27" t="s">
        <v>48</v>
      </c>
      <c r="G648" s="28">
        <v>4000</v>
      </c>
      <c r="H648" s="26">
        <v>0</v>
      </c>
      <c r="I648" s="26">
        <v>16</v>
      </c>
      <c r="J648" s="36">
        <v>2</v>
      </c>
      <c r="K648" s="34">
        <v>2014</v>
      </c>
      <c r="L648" s="34">
        <v>6</v>
      </c>
      <c r="M648" s="34">
        <v>5</v>
      </c>
      <c r="N648" s="26"/>
    </row>
    <row r="649" spans="1:14">
      <c r="A649" s="26">
        <v>112204</v>
      </c>
      <c r="B649" s="27" t="s">
        <v>629</v>
      </c>
      <c r="C649" s="26" t="s">
        <v>49</v>
      </c>
      <c r="D649" s="27" t="s">
        <v>255</v>
      </c>
      <c r="G649" s="28">
        <v>0</v>
      </c>
      <c r="H649" s="26">
        <v>3000</v>
      </c>
      <c r="I649" s="26">
        <v>16</v>
      </c>
      <c r="J649" s="36">
        <v>2</v>
      </c>
      <c r="K649" s="34">
        <v>2014</v>
      </c>
      <c r="L649" s="34">
        <v>6</v>
      </c>
      <c r="M649" s="34">
        <v>5</v>
      </c>
      <c r="N649" s="26"/>
    </row>
    <row r="650" spans="1:14">
      <c r="A650" s="26">
        <v>112204</v>
      </c>
      <c r="B650" s="27" t="s">
        <v>630</v>
      </c>
      <c r="C650" s="26" t="s">
        <v>49</v>
      </c>
      <c r="D650" s="27" t="s">
        <v>255</v>
      </c>
      <c r="G650" s="28">
        <v>0</v>
      </c>
      <c r="H650" s="26">
        <v>4000</v>
      </c>
      <c r="I650" s="26">
        <v>16</v>
      </c>
      <c r="J650" s="36">
        <v>2</v>
      </c>
      <c r="K650" s="34">
        <v>2014</v>
      </c>
      <c r="L650" s="34">
        <v>6</v>
      </c>
      <c r="M650" s="34">
        <v>5</v>
      </c>
      <c r="N650" s="26"/>
    </row>
    <row r="651" spans="1:14">
      <c r="A651" s="26">
        <v>122104</v>
      </c>
      <c r="B651" s="27" t="s">
        <v>631</v>
      </c>
      <c r="C651" s="26" t="s">
        <v>78</v>
      </c>
      <c r="D651" s="27" t="s">
        <v>82</v>
      </c>
      <c r="G651" s="28">
        <v>0</v>
      </c>
      <c r="H651" s="26">
        <v>35000</v>
      </c>
      <c r="I651" s="26">
        <v>17</v>
      </c>
      <c r="J651" s="36">
        <v>1</v>
      </c>
      <c r="K651" s="34">
        <v>2014</v>
      </c>
      <c r="L651" s="34">
        <v>6</v>
      </c>
      <c r="M651" s="34">
        <v>5</v>
      </c>
      <c r="N651" s="26"/>
    </row>
    <row r="652" spans="1:14">
      <c r="A652" s="26">
        <v>100201</v>
      </c>
      <c r="B652" s="27" t="s">
        <v>631</v>
      </c>
      <c r="C652" s="26" t="s">
        <v>47</v>
      </c>
      <c r="D652" s="27" t="s">
        <v>48</v>
      </c>
      <c r="G652" s="28">
        <v>35000</v>
      </c>
      <c r="H652" s="26">
        <v>0</v>
      </c>
      <c r="I652" s="26">
        <v>17</v>
      </c>
      <c r="J652" s="36">
        <v>1</v>
      </c>
      <c r="K652" s="34">
        <v>2014</v>
      </c>
      <c r="L652" s="34">
        <v>6</v>
      </c>
      <c r="M652" s="34">
        <v>5</v>
      </c>
      <c r="N652" s="26"/>
    </row>
    <row r="653" spans="1:14">
      <c r="A653" s="26">
        <v>221104</v>
      </c>
      <c r="B653" s="27" t="s">
        <v>632</v>
      </c>
      <c r="C653" s="26" t="s">
        <v>113</v>
      </c>
      <c r="D653" s="27" t="s">
        <v>117</v>
      </c>
      <c r="G653" s="28">
        <v>1861.86</v>
      </c>
      <c r="H653" s="26">
        <v>0</v>
      </c>
      <c r="I653" s="26">
        <v>18</v>
      </c>
      <c r="J653" s="36">
        <v>2</v>
      </c>
      <c r="K653" s="34">
        <v>2014</v>
      </c>
      <c r="L653" s="34">
        <v>6</v>
      </c>
      <c r="M653" s="34">
        <v>5</v>
      </c>
      <c r="N653" s="26"/>
    </row>
    <row r="654" spans="1:14">
      <c r="A654" s="26">
        <v>221104</v>
      </c>
      <c r="B654" s="27" t="s">
        <v>633</v>
      </c>
      <c r="C654" s="26" t="s">
        <v>113</v>
      </c>
      <c r="D654" s="27" t="s">
        <v>117</v>
      </c>
      <c r="G654" s="28">
        <v>1861.86</v>
      </c>
      <c r="H654" s="26">
        <v>0</v>
      </c>
      <c r="I654" s="26">
        <v>18</v>
      </c>
      <c r="J654" s="36">
        <v>2</v>
      </c>
      <c r="K654" s="34">
        <v>2014</v>
      </c>
      <c r="L654" s="34">
        <v>6</v>
      </c>
      <c r="M654" s="34">
        <v>5</v>
      </c>
      <c r="N654" s="26"/>
    </row>
    <row r="655" spans="1:14">
      <c r="A655" s="26">
        <v>100201</v>
      </c>
      <c r="B655" s="27" t="s">
        <v>634</v>
      </c>
      <c r="C655" s="26" t="s">
        <v>47</v>
      </c>
      <c r="D655" s="27" t="s">
        <v>48</v>
      </c>
      <c r="G655" s="28">
        <v>0</v>
      </c>
      <c r="H655" s="26">
        <v>1861.86</v>
      </c>
      <c r="I655" s="26">
        <v>18</v>
      </c>
      <c r="J655" s="36">
        <v>2</v>
      </c>
      <c r="K655" s="34">
        <v>2014</v>
      </c>
      <c r="L655" s="34">
        <v>6</v>
      </c>
      <c r="M655" s="34">
        <v>5</v>
      </c>
      <c r="N655" s="26"/>
    </row>
    <row r="656" spans="1:14">
      <c r="A656" s="26">
        <v>100201</v>
      </c>
      <c r="B656" s="27" t="s">
        <v>635</v>
      </c>
      <c r="C656" s="26" t="s">
        <v>47</v>
      </c>
      <c r="D656" s="27" t="s">
        <v>48</v>
      </c>
      <c r="G656" s="28">
        <v>0</v>
      </c>
      <c r="H656" s="26">
        <v>1861.86</v>
      </c>
      <c r="I656" s="26">
        <v>18</v>
      </c>
      <c r="J656" s="36">
        <v>2</v>
      </c>
      <c r="K656" s="34">
        <v>2014</v>
      </c>
      <c r="L656" s="34">
        <v>6</v>
      </c>
      <c r="M656" s="34">
        <v>5</v>
      </c>
      <c r="N656" s="26"/>
    </row>
    <row r="657" spans="1:14">
      <c r="A657" s="26">
        <v>571101</v>
      </c>
      <c r="B657" s="27" t="s">
        <v>636</v>
      </c>
      <c r="C657" s="26" t="s">
        <v>181</v>
      </c>
      <c r="D657" s="27" t="s">
        <v>199</v>
      </c>
      <c r="G657" s="28">
        <v>10.24</v>
      </c>
      <c r="H657" s="26">
        <v>0</v>
      </c>
      <c r="I657" s="26">
        <v>19</v>
      </c>
      <c r="J657" s="36">
        <v>1</v>
      </c>
      <c r="K657" s="34">
        <v>2014</v>
      </c>
      <c r="L657" s="34">
        <v>6</v>
      </c>
      <c r="M657" s="34">
        <v>5</v>
      </c>
      <c r="N657" s="26"/>
    </row>
    <row r="658" spans="1:14">
      <c r="A658" s="26">
        <v>100201</v>
      </c>
      <c r="B658" s="27" t="s">
        <v>636</v>
      </c>
      <c r="C658" s="26" t="s">
        <v>47</v>
      </c>
      <c r="D658" s="27" t="s">
        <v>48</v>
      </c>
      <c r="G658" s="28">
        <v>0</v>
      </c>
      <c r="H658" s="26">
        <v>10.24</v>
      </c>
      <c r="I658" s="26">
        <v>19</v>
      </c>
      <c r="J658" s="36">
        <v>1</v>
      </c>
      <c r="K658" s="34">
        <v>2014</v>
      </c>
      <c r="L658" s="34">
        <v>6</v>
      </c>
      <c r="M658" s="34">
        <v>5</v>
      </c>
      <c r="N658" s="26"/>
    </row>
    <row r="659" spans="1:14">
      <c r="A659" s="26">
        <v>224104</v>
      </c>
      <c r="B659" s="27" t="s">
        <v>637</v>
      </c>
      <c r="C659" s="26" t="s">
        <v>140</v>
      </c>
      <c r="D659" s="27" t="s">
        <v>142</v>
      </c>
      <c r="G659" s="28">
        <v>2</v>
      </c>
      <c r="H659" s="26">
        <v>0</v>
      </c>
      <c r="I659" s="26">
        <v>20</v>
      </c>
      <c r="J659" s="36">
        <v>1</v>
      </c>
      <c r="K659" s="34">
        <v>2014</v>
      </c>
      <c r="L659" s="34">
        <v>6</v>
      </c>
      <c r="M659" s="34">
        <v>5</v>
      </c>
      <c r="N659" s="26"/>
    </row>
    <row r="660" spans="1:14">
      <c r="A660" s="26">
        <v>560206</v>
      </c>
      <c r="B660" s="27" t="s">
        <v>638</v>
      </c>
      <c r="C660" s="26" t="s">
        <v>166</v>
      </c>
      <c r="D660" s="27" t="s">
        <v>172</v>
      </c>
      <c r="G660" s="28">
        <v>75</v>
      </c>
      <c r="H660" s="26">
        <v>0</v>
      </c>
      <c r="I660" s="26">
        <v>20</v>
      </c>
      <c r="J660" s="36">
        <v>1</v>
      </c>
      <c r="K660" s="34">
        <v>2014</v>
      </c>
      <c r="L660" s="34">
        <v>6</v>
      </c>
      <c r="M660" s="34">
        <v>5</v>
      </c>
      <c r="N660" s="26"/>
    </row>
    <row r="661" spans="1:14">
      <c r="A661" s="26">
        <v>100201</v>
      </c>
      <c r="B661" s="27" t="s">
        <v>638</v>
      </c>
      <c r="C661" s="26" t="s">
        <v>47</v>
      </c>
      <c r="D661" s="27" t="s">
        <v>48</v>
      </c>
      <c r="G661" s="28">
        <v>0</v>
      </c>
      <c r="H661" s="26">
        <v>77</v>
      </c>
      <c r="I661" s="26">
        <v>20</v>
      </c>
      <c r="J661" s="36">
        <v>1</v>
      </c>
      <c r="K661" s="34">
        <v>2014</v>
      </c>
      <c r="L661" s="34">
        <v>6</v>
      </c>
      <c r="M661" s="34">
        <v>5</v>
      </c>
      <c r="N661" s="26"/>
    </row>
    <row r="662" spans="1:14">
      <c r="A662" s="26">
        <v>222102</v>
      </c>
      <c r="B662" s="27" t="s">
        <v>639</v>
      </c>
      <c r="C662" s="26" t="s">
        <v>126</v>
      </c>
      <c r="D662" s="27" t="s">
        <v>128</v>
      </c>
      <c r="G662" s="28">
        <v>960</v>
      </c>
      <c r="H662" s="26">
        <v>0</v>
      </c>
      <c r="I662" s="26">
        <v>21</v>
      </c>
      <c r="J662" s="36">
        <v>1</v>
      </c>
      <c r="K662" s="34">
        <v>2014</v>
      </c>
      <c r="L662" s="34">
        <v>6</v>
      </c>
      <c r="M662" s="34">
        <v>5</v>
      </c>
      <c r="N662" s="26"/>
    </row>
    <row r="663" spans="1:14">
      <c r="A663" s="26">
        <v>222103</v>
      </c>
      <c r="B663" s="27" t="s">
        <v>639</v>
      </c>
      <c r="C663" s="26" t="s">
        <v>126</v>
      </c>
      <c r="D663" s="27" t="s">
        <v>129</v>
      </c>
      <c r="G663" s="28">
        <v>67.2</v>
      </c>
      <c r="H663" s="26">
        <v>0</v>
      </c>
      <c r="I663" s="26">
        <v>21</v>
      </c>
      <c r="J663" s="36">
        <v>1</v>
      </c>
      <c r="K663" s="34">
        <v>2014</v>
      </c>
      <c r="L663" s="34">
        <v>6</v>
      </c>
      <c r="M663" s="34">
        <v>5</v>
      </c>
      <c r="N663" s="26"/>
    </row>
    <row r="664" spans="1:14">
      <c r="A664" s="26">
        <v>222104</v>
      </c>
      <c r="B664" s="27" t="s">
        <v>639</v>
      </c>
      <c r="C664" s="26" t="s">
        <v>126</v>
      </c>
      <c r="D664" s="27" t="s">
        <v>130</v>
      </c>
      <c r="G664" s="28">
        <v>48</v>
      </c>
      <c r="H664" s="26">
        <v>0</v>
      </c>
      <c r="I664" s="26">
        <v>21</v>
      </c>
      <c r="J664" s="36">
        <v>1</v>
      </c>
      <c r="K664" s="34">
        <v>2014</v>
      </c>
      <c r="L664" s="34">
        <v>6</v>
      </c>
      <c r="M664" s="34">
        <v>5</v>
      </c>
      <c r="N664" s="26"/>
    </row>
    <row r="665" spans="1:14">
      <c r="A665" s="26">
        <v>222105</v>
      </c>
      <c r="B665" s="27" t="s">
        <v>639</v>
      </c>
      <c r="C665" s="26" t="s">
        <v>126</v>
      </c>
      <c r="D665" s="27" t="s">
        <v>131</v>
      </c>
      <c r="G665" s="28">
        <v>9.6</v>
      </c>
      <c r="H665" s="26">
        <v>0</v>
      </c>
      <c r="I665" s="26">
        <v>21</v>
      </c>
      <c r="J665" s="36">
        <v>1</v>
      </c>
      <c r="K665" s="34">
        <v>2014</v>
      </c>
      <c r="L665" s="34">
        <v>6</v>
      </c>
      <c r="M665" s="34">
        <v>5</v>
      </c>
      <c r="N665" s="26"/>
    </row>
    <row r="666" spans="1:14">
      <c r="A666" s="26">
        <v>222106</v>
      </c>
      <c r="B666" s="27" t="s">
        <v>639</v>
      </c>
      <c r="C666" s="26" t="s">
        <v>126</v>
      </c>
      <c r="D666" s="27" t="s">
        <v>132</v>
      </c>
      <c r="G666" s="28">
        <v>256</v>
      </c>
      <c r="H666" s="26">
        <v>0</v>
      </c>
      <c r="I666" s="26">
        <v>21</v>
      </c>
      <c r="J666" s="36">
        <v>1</v>
      </c>
      <c r="K666" s="34">
        <v>2014</v>
      </c>
      <c r="L666" s="34">
        <v>6</v>
      </c>
      <c r="M666" s="34">
        <v>5</v>
      </c>
      <c r="N666" s="26"/>
    </row>
    <row r="667" spans="1:14">
      <c r="A667" s="26">
        <v>224104</v>
      </c>
      <c r="B667" s="27" t="s">
        <v>639</v>
      </c>
      <c r="C667" s="26" t="s">
        <v>140</v>
      </c>
      <c r="D667" s="27" t="s">
        <v>142</v>
      </c>
      <c r="G667" s="28">
        <v>32</v>
      </c>
      <c r="H667" s="26">
        <v>0</v>
      </c>
      <c r="I667" s="26">
        <v>21</v>
      </c>
      <c r="J667" s="36">
        <v>1</v>
      </c>
      <c r="K667" s="34">
        <v>2014</v>
      </c>
      <c r="L667" s="34">
        <v>6</v>
      </c>
      <c r="M667" s="34">
        <v>5</v>
      </c>
      <c r="N667" s="26"/>
    </row>
    <row r="668" spans="1:14">
      <c r="A668" s="26">
        <v>100201</v>
      </c>
      <c r="B668" s="27" t="s">
        <v>639</v>
      </c>
      <c r="C668" s="26" t="s">
        <v>47</v>
      </c>
      <c r="D668" s="27" t="s">
        <v>48</v>
      </c>
      <c r="G668" s="28">
        <v>0</v>
      </c>
      <c r="H668" s="26">
        <v>1372.8</v>
      </c>
      <c r="I668" s="26">
        <v>21</v>
      </c>
      <c r="J668" s="36">
        <v>1</v>
      </c>
      <c r="K668" s="34">
        <v>2014</v>
      </c>
      <c r="L668" s="34">
        <v>6</v>
      </c>
      <c r="M668" s="34">
        <v>5</v>
      </c>
      <c r="N668" s="26"/>
    </row>
    <row r="669" spans="1:14">
      <c r="A669" s="26">
        <v>100201</v>
      </c>
      <c r="B669" s="27" t="s">
        <v>640</v>
      </c>
      <c r="C669" s="26" t="s">
        <v>47</v>
      </c>
      <c r="D669" s="27" t="s">
        <v>48</v>
      </c>
      <c r="G669" s="28">
        <v>1800</v>
      </c>
      <c r="H669" s="26">
        <v>0</v>
      </c>
      <c r="I669" s="26">
        <v>22</v>
      </c>
      <c r="J669" s="36">
        <v>1</v>
      </c>
      <c r="K669" s="34">
        <v>2014</v>
      </c>
      <c r="L669" s="34">
        <v>6</v>
      </c>
      <c r="M669" s="34">
        <v>5</v>
      </c>
      <c r="N669" s="26"/>
    </row>
    <row r="670" spans="1:14">
      <c r="A670" s="26">
        <v>112204</v>
      </c>
      <c r="B670" s="27" t="s">
        <v>640</v>
      </c>
      <c r="C670" s="26" t="s">
        <v>49</v>
      </c>
      <c r="D670" s="27" t="s">
        <v>255</v>
      </c>
      <c r="G670" s="28">
        <v>0</v>
      </c>
      <c r="H670" s="26">
        <v>1800</v>
      </c>
      <c r="I670" s="26">
        <v>22</v>
      </c>
      <c r="J670" s="36">
        <v>1</v>
      </c>
      <c r="K670" s="34">
        <v>2014</v>
      </c>
      <c r="L670" s="34">
        <v>6</v>
      </c>
      <c r="M670" s="34">
        <v>5</v>
      </c>
      <c r="N670" s="26"/>
    </row>
    <row r="671" spans="1:14">
      <c r="A671" s="26">
        <v>560206</v>
      </c>
      <c r="B671" s="27" t="s">
        <v>641</v>
      </c>
      <c r="C671" s="26" t="s">
        <v>166</v>
      </c>
      <c r="D671" s="27" t="s">
        <v>172</v>
      </c>
      <c r="G671" s="28">
        <v>628.5</v>
      </c>
      <c r="H671" s="26">
        <v>0</v>
      </c>
      <c r="I671" s="26">
        <v>23</v>
      </c>
      <c r="J671" s="36">
        <v>2</v>
      </c>
      <c r="K671" s="34">
        <v>2014</v>
      </c>
      <c r="L671" s="34">
        <v>6</v>
      </c>
      <c r="M671" s="34">
        <v>5</v>
      </c>
      <c r="N671" s="26"/>
    </row>
    <row r="672" spans="1:14">
      <c r="A672" s="26">
        <v>100201</v>
      </c>
      <c r="B672" s="27" t="s">
        <v>642</v>
      </c>
      <c r="C672" s="26" t="s">
        <v>47</v>
      </c>
      <c r="D672" s="27" t="s">
        <v>48</v>
      </c>
      <c r="G672" s="28">
        <v>0</v>
      </c>
      <c r="H672" s="26">
        <v>628.5</v>
      </c>
      <c r="I672" s="26">
        <v>23</v>
      </c>
      <c r="J672" s="36">
        <v>2</v>
      </c>
      <c r="K672" s="34">
        <v>2014</v>
      </c>
      <c r="L672" s="34">
        <v>6</v>
      </c>
      <c r="M672" s="34">
        <v>5</v>
      </c>
      <c r="N672" s="26"/>
    </row>
    <row r="673" spans="1:14">
      <c r="A673" s="26">
        <v>560206</v>
      </c>
      <c r="B673" s="27" t="s">
        <v>643</v>
      </c>
      <c r="C673" s="26" t="s">
        <v>166</v>
      </c>
      <c r="D673" s="27" t="s">
        <v>172</v>
      </c>
      <c r="G673" s="28">
        <v>1450</v>
      </c>
      <c r="H673" s="26">
        <v>0</v>
      </c>
      <c r="I673" s="26">
        <v>24</v>
      </c>
      <c r="J673" s="36">
        <v>2</v>
      </c>
      <c r="K673" s="34">
        <v>2014</v>
      </c>
      <c r="L673" s="34">
        <v>6</v>
      </c>
      <c r="M673" s="34">
        <v>5</v>
      </c>
      <c r="N673" s="26"/>
    </row>
    <row r="674" spans="1:14">
      <c r="A674" s="26">
        <v>100201</v>
      </c>
      <c r="B674" s="27" t="s">
        <v>644</v>
      </c>
      <c r="C674" s="26" t="s">
        <v>47</v>
      </c>
      <c r="D674" s="27" t="s">
        <v>48</v>
      </c>
      <c r="G674" s="28">
        <v>0</v>
      </c>
      <c r="H674" s="26">
        <v>1450</v>
      </c>
      <c r="I674" s="26">
        <v>24</v>
      </c>
      <c r="J674" s="36">
        <v>2</v>
      </c>
      <c r="K674" s="34">
        <v>2014</v>
      </c>
      <c r="L674" s="34">
        <v>6</v>
      </c>
      <c r="M674" s="34">
        <v>5</v>
      </c>
      <c r="N674" s="26"/>
    </row>
    <row r="675" spans="1:14">
      <c r="A675" s="26">
        <v>112311</v>
      </c>
      <c r="B675" s="27" t="s">
        <v>645</v>
      </c>
      <c r="C675" s="26" t="s">
        <v>64</v>
      </c>
      <c r="D675" s="27" t="s">
        <v>70</v>
      </c>
      <c r="G675" s="28">
        <v>9000</v>
      </c>
      <c r="H675" s="26">
        <v>0</v>
      </c>
      <c r="I675" s="26">
        <v>25</v>
      </c>
      <c r="J675" s="36">
        <v>5</v>
      </c>
      <c r="K675" s="34">
        <v>2014</v>
      </c>
      <c r="L675" s="34">
        <v>6</v>
      </c>
      <c r="M675" s="34">
        <v>5</v>
      </c>
      <c r="N675" s="26"/>
    </row>
    <row r="676" spans="1:14">
      <c r="A676" s="26">
        <v>112311</v>
      </c>
      <c r="B676" s="27" t="s">
        <v>646</v>
      </c>
      <c r="C676" s="26" t="s">
        <v>64</v>
      </c>
      <c r="D676" s="27" t="s">
        <v>70</v>
      </c>
      <c r="G676" s="28">
        <v>20000</v>
      </c>
      <c r="H676" s="26">
        <v>0</v>
      </c>
      <c r="I676" s="26">
        <v>25</v>
      </c>
      <c r="J676" s="36">
        <v>5</v>
      </c>
      <c r="K676" s="34">
        <v>2014</v>
      </c>
      <c r="L676" s="34">
        <v>6</v>
      </c>
      <c r="M676" s="34">
        <v>5</v>
      </c>
      <c r="N676" s="26"/>
    </row>
    <row r="677" spans="1:14">
      <c r="A677" s="26">
        <v>100201</v>
      </c>
      <c r="B677" s="27" t="s">
        <v>647</v>
      </c>
      <c r="C677" s="26" t="s">
        <v>47</v>
      </c>
      <c r="D677" s="27" t="s">
        <v>48</v>
      </c>
      <c r="G677" s="28">
        <v>0</v>
      </c>
      <c r="H677" s="26">
        <v>29000</v>
      </c>
      <c r="I677" s="26">
        <v>25</v>
      </c>
      <c r="J677" s="36">
        <v>5</v>
      </c>
      <c r="K677" s="34">
        <v>2014</v>
      </c>
      <c r="L677" s="34">
        <v>6</v>
      </c>
      <c r="M677" s="34">
        <v>5</v>
      </c>
      <c r="N677" s="26"/>
    </row>
    <row r="678" spans="1:14">
      <c r="A678" s="26">
        <v>560204</v>
      </c>
      <c r="B678" s="27" t="s">
        <v>245</v>
      </c>
      <c r="C678" s="26" t="s">
        <v>166</v>
      </c>
      <c r="D678" s="27" t="s">
        <v>170</v>
      </c>
      <c r="G678" s="28">
        <v>270</v>
      </c>
      <c r="H678" s="26">
        <v>0</v>
      </c>
      <c r="I678" s="26">
        <v>26</v>
      </c>
      <c r="J678" s="36">
        <v>7</v>
      </c>
      <c r="K678" s="34">
        <v>2014</v>
      </c>
      <c r="L678" s="34">
        <v>6</v>
      </c>
      <c r="M678" s="34">
        <v>23</v>
      </c>
      <c r="N678" s="26"/>
    </row>
    <row r="679" spans="1:14">
      <c r="A679" s="26">
        <v>560206</v>
      </c>
      <c r="B679" s="27" t="s">
        <v>648</v>
      </c>
      <c r="C679" s="26" t="s">
        <v>166</v>
      </c>
      <c r="D679" s="27" t="s">
        <v>172</v>
      </c>
      <c r="G679" s="28">
        <v>367</v>
      </c>
      <c r="H679" s="26">
        <v>0</v>
      </c>
      <c r="I679" s="26">
        <v>26</v>
      </c>
      <c r="J679" s="36">
        <v>7</v>
      </c>
      <c r="K679" s="34">
        <v>2014</v>
      </c>
      <c r="L679" s="34">
        <v>6</v>
      </c>
      <c r="M679" s="34">
        <v>23</v>
      </c>
      <c r="N679" s="26"/>
    </row>
    <row r="680" spans="1:14">
      <c r="A680" s="26">
        <v>560203</v>
      </c>
      <c r="B680" s="27" t="s">
        <v>649</v>
      </c>
      <c r="C680" s="26" t="s">
        <v>166</v>
      </c>
      <c r="D680" s="27" t="s">
        <v>169</v>
      </c>
      <c r="G680" s="28">
        <v>233</v>
      </c>
      <c r="H680" s="26">
        <v>0</v>
      </c>
      <c r="I680" s="26">
        <v>26</v>
      </c>
      <c r="J680" s="36">
        <v>7</v>
      </c>
      <c r="K680" s="34">
        <v>2014</v>
      </c>
      <c r="L680" s="34">
        <v>6</v>
      </c>
      <c r="M680" s="34">
        <v>23</v>
      </c>
      <c r="N680" s="26"/>
    </row>
    <row r="681" spans="1:14">
      <c r="A681" s="26">
        <v>100101</v>
      </c>
      <c r="B681" s="27" t="s">
        <v>650</v>
      </c>
      <c r="C681" s="26" t="s">
        <v>46</v>
      </c>
      <c r="D681" s="27" t="s">
        <v>199</v>
      </c>
      <c r="G681" s="28">
        <v>0</v>
      </c>
      <c r="H681" s="26">
        <v>870</v>
      </c>
      <c r="I681" s="26">
        <v>26</v>
      </c>
      <c r="J681" s="36">
        <v>7</v>
      </c>
      <c r="K681" s="34">
        <v>2014</v>
      </c>
      <c r="L681" s="34">
        <v>6</v>
      </c>
      <c r="M681" s="34">
        <v>23</v>
      </c>
      <c r="N681" s="26"/>
    </row>
    <row r="682" spans="1:14">
      <c r="A682" s="26">
        <v>560210</v>
      </c>
      <c r="B682" s="27" t="s">
        <v>651</v>
      </c>
      <c r="C682" s="26" t="s">
        <v>166</v>
      </c>
      <c r="D682" s="27" t="s">
        <v>176</v>
      </c>
      <c r="G682" s="28">
        <v>75.44</v>
      </c>
      <c r="H682" s="26">
        <v>0</v>
      </c>
      <c r="I682" s="26">
        <v>27</v>
      </c>
      <c r="J682" s="36">
        <v>3</v>
      </c>
      <c r="K682" s="34">
        <v>2014</v>
      </c>
      <c r="L682" s="34">
        <v>6</v>
      </c>
      <c r="M682" s="34">
        <v>23</v>
      </c>
      <c r="N682" s="26"/>
    </row>
    <row r="683" spans="1:14">
      <c r="A683" s="26">
        <v>100201</v>
      </c>
      <c r="B683" s="27" t="s">
        <v>652</v>
      </c>
      <c r="C683" s="26" t="s">
        <v>47</v>
      </c>
      <c r="D683" s="27" t="s">
        <v>48</v>
      </c>
      <c r="G683" s="28">
        <v>21.06</v>
      </c>
      <c r="H683" s="26">
        <v>0</v>
      </c>
      <c r="I683" s="26">
        <v>27</v>
      </c>
      <c r="J683" s="36">
        <v>3</v>
      </c>
      <c r="K683" s="34">
        <v>2014</v>
      </c>
      <c r="L683" s="34">
        <v>6</v>
      </c>
      <c r="M683" s="34">
        <v>23</v>
      </c>
      <c r="N683" s="26"/>
    </row>
    <row r="684" spans="1:14">
      <c r="A684" s="26">
        <v>100201</v>
      </c>
      <c r="B684" s="27" t="s">
        <v>653</v>
      </c>
      <c r="C684" s="26" t="s">
        <v>47</v>
      </c>
      <c r="D684" s="27" t="s">
        <v>48</v>
      </c>
      <c r="G684" s="28">
        <v>0</v>
      </c>
      <c r="H684" s="26">
        <v>90</v>
      </c>
      <c r="I684" s="26">
        <v>27</v>
      </c>
      <c r="J684" s="36">
        <v>3</v>
      </c>
      <c r="K684" s="34">
        <v>2014</v>
      </c>
      <c r="L684" s="34">
        <v>6</v>
      </c>
      <c r="M684" s="34">
        <v>23</v>
      </c>
      <c r="N684" s="26"/>
    </row>
    <row r="685" spans="1:14">
      <c r="A685" s="26">
        <v>100201</v>
      </c>
      <c r="B685" s="27" t="s">
        <v>178</v>
      </c>
      <c r="C685" s="26" t="s">
        <v>47</v>
      </c>
      <c r="D685" s="27" t="s">
        <v>48</v>
      </c>
      <c r="G685" s="28">
        <v>0</v>
      </c>
      <c r="H685" s="26">
        <v>6.5</v>
      </c>
      <c r="I685" s="26">
        <v>27</v>
      </c>
      <c r="J685" s="36">
        <v>3</v>
      </c>
      <c r="K685" s="34">
        <v>2014</v>
      </c>
      <c r="L685" s="34">
        <v>6</v>
      </c>
      <c r="M685" s="34">
        <v>23</v>
      </c>
      <c r="N685" s="26"/>
    </row>
    <row r="686" spans="1:14">
      <c r="A686" s="26">
        <v>224101</v>
      </c>
      <c r="B686" s="27" t="s">
        <v>256</v>
      </c>
      <c r="C686" s="26" t="s">
        <v>140</v>
      </c>
      <c r="D686" s="27" t="s">
        <v>12</v>
      </c>
      <c r="G686" s="28">
        <v>60000</v>
      </c>
      <c r="H686" s="26">
        <v>0</v>
      </c>
      <c r="I686" s="26">
        <v>28</v>
      </c>
      <c r="J686" s="36">
        <v>2</v>
      </c>
      <c r="K686" s="34">
        <v>2014</v>
      </c>
      <c r="L686" s="34">
        <v>6</v>
      </c>
      <c r="M686" s="34">
        <v>23</v>
      </c>
      <c r="N686" s="26"/>
    </row>
    <row r="687" spans="1:14">
      <c r="A687" s="26">
        <v>100201</v>
      </c>
      <c r="B687" s="27" t="s">
        <v>654</v>
      </c>
      <c r="C687" s="26" t="s">
        <v>47</v>
      </c>
      <c r="D687" s="27" t="s">
        <v>48</v>
      </c>
      <c r="G687" s="28">
        <v>0</v>
      </c>
      <c r="H687" s="26">
        <v>60000</v>
      </c>
      <c r="I687" s="26">
        <v>28</v>
      </c>
      <c r="J687" s="36">
        <v>2</v>
      </c>
      <c r="K687" s="34">
        <v>2014</v>
      </c>
      <c r="L687" s="34">
        <v>6</v>
      </c>
      <c r="M687" s="34">
        <v>23</v>
      </c>
      <c r="N687" s="26"/>
    </row>
    <row r="688" spans="1:14">
      <c r="A688" s="26">
        <v>100201</v>
      </c>
      <c r="B688" s="27" t="s">
        <v>655</v>
      </c>
      <c r="C688" s="26" t="s">
        <v>47</v>
      </c>
      <c r="D688" s="27" t="s">
        <v>48</v>
      </c>
      <c r="G688" s="28">
        <v>70150</v>
      </c>
      <c r="H688" s="26">
        <v>0</v>
      </c>
      <c r="I688" s="26">
        <v>29</v>
      </c>
      <c r="J688" s="36">
        <v>2</v>
      </c>
      <c r="K688" s="34">
        <v>2014</v>
      </c>
      <c r="L688" s="34">
        <v>6</v>
      </c>
      <c r="M688" s="34">
        <v>23</v>
      </c>
      <c r="N688" s="26"/>
    </row>
    <row r="689" spans="1:14">
      <c r="A689" s="26">
        <v>112201</v>
      </c>
      <c r="B689" s="27" t="s">
        <v>655</v>
      </c>
      <c r="C689" s="26" t="s">
        <v>49</v>
      </c>
      <c r="D689" s="27" t="s">
        <v>50</v>
      </c>
      <c r="G689" s="28">
        <v>0</v>
      </c>
      <c r="H689" s="26">
        <v>70150</v>
      </c>
      <c r="I689" s="26">
        <v>29</v>
      </c>
      <c r="J689" s="36">
        <v>2</v>
      </c>
      <c r="K689" s="34">
        <v>2014</v>
      </c>
      <c r="L689" s="34">
        <v>6</v>
      </c>
      <c r="M689" s="34">
        <v>23</v>
      </c>
      <c r="N689" s="26"/>
    </row>
    <row r="690" spans="1:14">
      <c r="A690" s="26">
        <v>560301</v>
      </c>
      <c r="B690" s="27"/>
      <c r="C690" s="26" t="s">
        <v>177</v>
      </c>
      <c r="D690" s="27" t="s">
        <v>199</v>
      </c>
      <c r="G690" s="28">
        <v>212</v>
      </c>
      <c r="H690" s="26">
        <v>0</v>
      </c>
      <c r="I690" s="26">
        <v>30</v>
      </c>
      <c r="J690" s="36">
        <v>2</v>
      </c>
      <c r="K690" s="34">
        <v>2014</v>
      </c>
      <c r="L690" s="34">
        <v>6</v>
      </c>
      <c r="M690" s="34">
        <v>30</v>
      </c>
      <c r="N690" s="26"/>
    </row>
    <row r="691" spans="1:14">
      <c r="A691" s="26">
        <v>100201</v>
      </c>
      <c r="B691" s="27" t="s">
        <v>656</v>
      </c>
      <c r="C691" s="26" t="s">
        <v>47</v>
      </c>
      <c r="D691" s="27" t="s">
        <v>48</v>
      </c>
      <c r="G691" s="28">
        <v>0</v>
      </c>
      <c r="H691" s="26">
        <v>200</v>
      </c>
      <c r="I691" s="26">
        <v>30</v>
      </c>
      <c r="J691" s="36">
        <v>2</v>
      </c>
      <c r="K691" s="34">
        <v>2014</v>
      </c>
      <c r="L691" s="34">
        <v>6</v>
      </c>
      <c r="M691" s="34">
        <v>30</v>
      </c>
      <c r="N691" s="26"/>
    </row>
    <row r="692" spans="1:14">
      <c r="A692" s="26">
        <v>100201</v>
      </c>
      <c r="B692" s="27" t="s">
        <v>657</v>
      </c>
      <c r="C692" s="26" t="s">
        <v>47</v>
      </c>
      <c r="D692" s="27" t="s">
        <v>48</v>
      </c>
      <c r="G692" s="28">
        <v>0</v>
      </c>
      <c r="H692" s="26">
        <v>12</v>
      </c>
      <c r="I692" s="26">
        <v>30</v>
      </c>
      <c r="J692" s="36">
        <v>2</v>
      </c>
      <c r="K692" s="34">
        <v>2014</v>
      </c>
      <c r="L692" s="34">
        <v>6</v>
      </c>
      <c r="M692" s="34">
        <v>30</v>
      </c>
      <c r="N692" s="26"/>
    </row>
    <row r="693" spans="1:14">
      <c r="A693" s="26">
        <v>100201</v>
      </c>
      <c r="B693" s="27" t="s">
        <v>658</v>
      </c>
      <c r="C693" s="26" t="s">
        <v>47</v>
      </c>
      <c r="D693" s="27" t="s">
        <v>48</v>
      </c>
      <c r="G693" s="28">
        <v>55000</v>
      </c>
      <c r="H693" s="26">
        <v>0</v>
      </c>
      <c r="I693" s="26">
        <v>31</v>
      </c>
      <c r="J693" s="36">
        <v>2</v>
      </c>
      <c r="K693" s="34">
        <v>2014</v>
      </c>
      <c r="L693" s="34">
        <v>6</v>
      </c>
      <c r="M693" s="34">
        <v>30</v>
      </c>
      <c r="N693" s="26"/>
    </row>
    <row r="694" spans="1:14">
      <c r="A694" s="26">
        <v>220307</v>
      </c>
      <c r="B694" s="27" t="s">
        <v>658</v>
      </c>
      <c r="C694" s="26" t="s">
        <v>107</v>
      </c>
      <c r="D694" s="27" t="s">
        <v>112</v>
      </c>
      <c r="G694" s="28">
        <v>0</v>
      </c>
      <c r="H694" s="26">
        <v>55000</v>
      </c>
      <c r="I694" s="26">
        <v>31</v>
      </c>
      <c r="J694" s="36">
        <v>2</v>
      </c>
      <c r="K694" s="34">
        <v>2014</v>
      </c>
      <c r="L694" s="34">
        <v>6</v>
      </c>
      <c r="M694" s="34">
        <v>30</v>
      </c>
      <c r="N694" s="26"/>
    </row>
    <row r="695" spans="1:14">
      <c r="A695" s="26">
        <v>122105</v>
      </c>
      <c r="B695" s="27" t="s">
        <v>659</v>
      </c>
      <c r="C695" s="26" t="s">
        <v>78</v>
      </c>
      <c r="D695" s="27" t="s">
        <v>83</v>
      </c>
      <c r="G695" s="28">
        <v>70</v>
      </c>
      <c r="H695" s="26">
        <v>0</v>
      </c>
      <c r="I695" s="26">
        <v>32</v>
      </c>
      <c r="J695" s="36">
        <v>2</v>
      </c>
      <c r="K695" s="34">
        <v>2014</v>
      </c>
      <c r="L695" s="34">
        <v>6</v>
      </c>
      <c r="M695" s="34">
        <v>30</v>
      </c>
      <c r="N695" s="26"/>
    </row>
    <row r="696" spans="1:14">
      <c r="A696" s="26">
        <v>100201</v>
      </c>
      <c r="B696" s="27" t="s">
        <v>660</v>
      </c>
      <c r="C696" s="26" t="s">
        <v>47</v>
      </c>
      <c r="D696" s="27" t="s">
        <v>48</v>
      </c>
      <c r="G696" s="28">
        <v>0</v>
      </c>
      <c r="H696" s="26">
        <v>70</v>
      </c>
      <c r="I696" s="26">
        <v>32</v>
      </c>
      <c r="J696" s="36">
        <v>2</v>
      </c>
      <c r="K696" s="34">
        <v>2014</v>
      </c>
      <c r="L696" s="34">
        <v>6</v>
      </c>
      <c r="M696" s="34">
        <v>30</v>
      </c>
      <c r="N696" s="26"/>
    </row>
    <row r="697" spans="1:14">
      <c r="A697" s="26">
        <v>122105</v>
      </c>
      <c r="B697" s="27" t="s">
        <v>661</v>
      </c>
      <c r="C697" s="26" t="s">
        <v>78</v>
      </c>
      <c r="D697" s="27" t="s">
        <v>83</v>
      </c>
      <c r="G697" s="28">
        <v>556.4</v>
      </c>
      <c r="H697" s="26">
        <v>0</v>
      </c>
      <c r="I697" s="26">
        <v>33</v>
      </c>
      <c r="J697" s="36">
        <v>2</v>
      </c>
      <c r="K697" s="34">
        <v>2014</v>
      </c>
      <c r="L697" s="34">
        <v>6</v>
      </c>
      <c r="M697" s="34">
        <v>30</v>
      </c>
      <c r="N697" s="26"/>
    </row>
    <row r="698" spans="1:14">
      <c r="A698" s="26">
        <v>100201</v>
      </c>
      <c r="B698" s="27" t="s">
        <v>661</v>
      </c>
      <c r="C698" s="26" t="s">
        <v>47</v>
      </c>
      <c r="D698" s="27" t="s">
        <v>48</v>
      </c>
      <c r="G698" s="28">
        <v>0</v>
      </c>
      <c r="H698" s="26">
        <v>36.4</v>
      </c>
      <c r="I698" s="26">
        <v>33</v>
      </c>
      <c r="J698" s="36">
        <v>2</v>
      </c>
      <c r="K698" s="34">
        <v>2014</v>
      </c>
      <c r="L698" s="34">
        <v>6</v>
      </c>
      <c r="M698" s="34">
        <v>30</v>
      </c>
      <c r="N698" s="26"/>
    </row>
    <row r="699" spans="1:14">
      <c r="A699" s="26">
        <v>100201</v>
      </c>
      <c r="B699" s="27" t="s">
        <v>661</v>
      </c>
      <c r="C699" s="26" t="s">
        <v>47</v>
      </c>
      <c r="D699" s="27" t="s">
        <v>48</v>
      </c>
      <c r="G699" s="28">
        <v>0</v>
      </c>
      <c r="H699" s="26">
        <v>520</v>
      </c>
      <c r="I699" s="26">
        <v>33</v>
      </c>
      <c r="J699" s="36">
        <v>2</v>
      </c>
      <c r="K699" s="34">
        <v>2014</v>
      </c>
      <c r="L699" s="34">
        <v>6</v>
      </c>
      <c r="M699" s="34">
        <v>30</v>
      </c>
      <c r="N699" s="26"/>
    </row>
    <row r="700" spans="1:14">
      <c r="A700" s="26">
        <v>560207</v>
      </c>
      <c r="B700" s="27" t="s">
        <v>662</v>
      </c>
      <c r="C700" s="26" t="s">
        <v>166</v>
      </c>
      <c r="D700" s="27" t="s">
        <v>173</v>
      </c>
      <c r="G700" s="28">
        <v>34</v>
      </c>
      <c r="H700" s="26">
        <v>0</v>
      </c>
      <c r="I700" s="26">
        <v>34</v>
      </c>
      <c r="J700" s="36">
        <v>2</v>
      </c>
      <c r="K700" s="34">
        <v>2014</v>
      </c>
      <c r="L700" s="34">
        <v>6</v>
      </c>
      <c r="M700" s="34">
        <v>30</v>
      </c>
      <c r="N700" s="26"/>
    </row>
    <row r="701" spans="1:14">
      <c r="A701" s="26">
        <v>100101</v>
      </c>
      <c r="B701" s="27" t="s">
        <v>662</v>
      </c>
      <c r="C701" s="26" t="s">
        <v>46</v>
      </c>
      <c r="D701" s="27" t="s">
        <v>199</v>
      </c>
      <c r="G701" s="28">
        <v>0</v>
      </c>
      <c r="H701" s="26">
        <v>34</v>
      </c>
      <c r="I701" s="26">
        <v>34</v>
      </c>
      <c r="J701" s="36">
        <v>2</v>
      </c>
      <c r="K701" s="34">
        <v>2014</v>
      </c>
      <c r="L701" s="34">
        <v>6</v>
      </c>
      <c r="M701" s="34">
        <v>30</v>
      </c>
      <c r="N701" s="26"/>
    </row>
    <row r="702" spans="1:14">
      <c r="A702" s="26">
        <v>100101</v>
      </c>
      <c r="B702" s="27" t="s">
        <v>663</v>
      </c>
      <c r="C702" s="26" t="s">
        <v>46</v>
      </c>
      <c r="D702" s="27" t="s">
        <v>199</v>
      </c>
      <c r="G702" s="28">
        <v>4938.03</v>
      </c>
      <c r="H702" s="26">
        <v>0</v>
      </c>
      <c r="I702" s="26">
        <v>35</v>
      </c>
      <c r="J702" s="36">
        <v>2</v>
      </c>
      <c r="K702" s="34">
        <v>2014</v>
      </c>
      <c r="L702" s="34">
        <v>6</v>
      </c>
      <c r="M702" s="34">
        <v>30</v>
      </c>
      <c r="N702" s="26"/>
    </row>
    <row r="703" spans="1:14">
      <c r="A703" s="26">
        <v>100201</v>
      </c>
      <c r="B703" s="27" t="s">
        <v>663</v>
      </c>
      <c r="C703" s="26" t="s">
        <v>47</v>
      </c>
      <c r="D703" s="27" t="s">
        <v>48</v>
      </c>
      <c r="G703" s="28">
        <v>0</v>
      </c>
      <c r="H703" s="26">
        <v>5000</v>
      </c>
      <c r="I703" s="26">
        <v>35</v>
      </c>
      <c r="J703" s="36">
        <v>2</v>
      </c>
      <c r="K703" s="34">
        <v>2014</v>
      </c>
      <c r="L703" s="34">
        <v>6</v>
      </c>
      <c r="M703" s="34">
        <v>30</v>
      </c>
      <c r="N703" s="26"/>
    </row>
    <row r="704" spans="1:14">
      <c r="A704" s="26">
        <v>560209</v>
      </c>
      <c r="B704" s="27" t="s">
        <v>664</v>
      </c>
      <c r="C704" s="26" t="s">
        <v>166</v>
      </c>
      <c r="D704" s="27" t="s">
        <v>175</v>
      </c>
      <c r="G704" s="28">
        <v>61.97</v>
      </c>
      <c r="H704" s="26">
        <v>0</v>
      </c>
      <c r="I704" s="26">
        <v>35</v>
      </c>
      <c r="J704" s="36">
        <v>2</v>
      </c>
      <c r="K704" s="34">
        <v>2014</v>
      </c>
      <c r="L704" s="34">
        <v>6</v>
      </c>
      <c r="M704" s="34">
        <v>30</v>
      </c>
      <c r="N704" s="26"/>
    </row>
    <row r="705" spans="1:14">
      <c r="A705" s="26">
        <v>560209</v>
      </c>
      <c r="B705" s="27" t="s">
        <v>245</v>
      </c>
      <c r="C705" s="26" t="s">
        <v>166</v>
      </c>
      <c r="D705" s="27" t="s">
        <v>175</v>
      </c>
      <c r="G705" s="28">
        <v>4501</v>
      </c>
      <c r="H705" s="26">
        <v>0</v>
      </c>
      <c r="I705" s="26">
        <v>36</v>
      </c>
      <c r="J705" s="36">
        <v>2</v>
      </c>
      <c r="K705" s="34">
        <v>2014</v>
      </c>
      <c r="L705" s="34">
        <v>6</v>
      </c>
      <c r="M705" s="34">
        <v>30</v>
      </c>
      <c r="N705" s="26"/>
    </row>
    <row r="706" spans="1:14">
      <c r="A706" s="26">
        <v>224105</v>
      </c>
      <c r="B706" s="27" t="s">
        <v>245</v>
      </c>
      <c r="C706" s="26" t="s">
        <v>140</v>
      </c>
      <c r="D706" s="27" t="s">
        <v>143</v>
      </c>
      <c r="G706" s="28">
        <v>0</v>
      </c>
      <c r="H706" s="26">
        <v>4501</v>
      </c>
      <c r="I706" s="26">
        <v>36</v>
      </c>
      <c r="J706" s="36">
        <v>2</v>
      </c>
      <c r="K706" s="34">
        <v>2014</v>
      </c>
      <c r="L706" s="34">
        <v>6</v>
      </c>
      <c r="M706" s="34">
        <v>30</v>
      </c>
      <c r="N706" s="26"/>
    </row>
    <row r="707" spans="1:14">
      <c r="A707" s="26">
        <v>540304</v>
      </c>
      <c r="B707" s="27" t="s">
        <v>665</v>
      </c>
      <c r="C707" s="26" t="s">
        <v>165</v>
      </c>
      <c r="D707" s="27" t="s">
        <v>128</v>
      </c>
      <c r="G707" s="28">
        <v>2182.5</v>
      </c>
      <c r="H707" s="26">
        <v>0</v>
      </c>
      <c r="I707" s="26">
        <v>37</v>
      </c>
      <c r="J707" s="36">
        <v>1</v>
      </c>
      <c r="K707" s="34">
        <v>2014</v>
      </c>
      <c r="L707" s="34">
        <v>6</v>
      </c>
      <c r="M707" s="34">
        <v>30</v>
      </c>
      <c r="N707" s="26"/>
    </row>
    <row r="708" spans="1:14">
      <c r="A708" s="26">
        <v>540301</v>
      </c>
      <c r="B708" s="27" t="s">
        <v>665</v>
      </c>
      <c r="C708" s="26" t="s">
        <v>165</v>
      </c>
      <c r="D708" s="27" t="s">
        <v>129</v>
      </c>
      <c r="G708" s="28">
        <v>152.78</v>
      </c>
      <c r="H708" s="26">
        <v>0</v>
      </c>
      <c r="I708" s="26">
        <v>37</v>
      </c>
      <c r="J708" s="36">
        <v>1</v>
      </c>
      <c r="K708" s="34">
        <v>2014</v>
      </c>
      <c r="L708" s="34">
        <v>6</v>
      </c>
      <c r="M708" s="34">
        <v>30</v>
      </c>
      <c r="N708" s="26"/>
    </row>
    <row r="709" spans="1:14">
      <c r="A709" s="26">
        <v>540302</v>
      </c>
      <c r="B709" s="27" t="s">
        <v>665</v>
      </c>
      <c r="C709" s="26" t="s">
        <v>165</v>
      </c>
      <c r="D709" s="27" t="s">
        <v>130</v>
      </c>
      <c r="G709" s="28">
        <v>109.13</v>
      </c>
      <c r="H709" s="26">
        <v>0</v>
      </c>
      <c r="I709" s="26">
        <v>37</v>
      </c>
      <c r="J709" s="36">
        <v>1</v>
      </c>
      <c r="K709" s="34">
        <v>2014</v>
      </c>
      <c r="L709" s="34">
        <v>6</v>
      </c>
      <c r="M709" s="34">
        <v>30</v>
      </c>
      <c r="N709" s="26"/>
    </row>
    <row r="710" spans="1:14">
      <c r="A710" s="26">
        <v>540303</v>
      </c>
      <c r="B710" s="27" t="s">
        <v>665</v>
      </c>
      <c r="C710" s="26" t="s">
        <v>165</v>
      </c>
      <c r="D710" s="27" t="s">
        <v>131</v>
      </c>
      <c r="G710" s="28">
        <v>14.2</v>
      </c>
      <c r="H710" s="26">
        <v>0</v>
      </c>
      <c r="I710" s="26">
        <v>37</v>
      </c>
      <c r="J710" s="36">
        <v>1</v>
      </c>
      <c r="K710" s="34">
        <v>2014</v>
      </c>
      <c r="L710" s="34">
        <v>6</v>
      </c>
      <c r="M710" s="34">
        <v>30</v>
      </c>
      <c r="N710" s="26"/>
    </row>
    <row r="711" spans="1:14">
      <c r="A711" s="26">
        <v>560206</v>
      </c>
      <c r="B711" s="27" t="s">
        <v>665</v>
      </c>
      <c r="C711" s="26" t="s">
        <v>166</v>
      </c>
      <c r="D711" s="27" t="s">
        <v>172</v>
      </c>
      <c r="G711" s="28">
        <v>47.24</v>
      </c>
      <c r="H711" s="26">
        <v>0</v>
      </c>
      <c r="I711" s="26">
        <v>37</v>
      </c>
      <c r="J711" s="36">
        <v>1</v>
      </c>
      <c r="K711" s="34">
        <v>2014</v>
      </c>
      <c r="L711" s="34">
        <v>6</v>
      </c>
      <c r="M711" s="34">
        <v>30</v>
      </c>
      <c r="N711" s="26"/>
    </row>
    <row r="712" spans="1:14">
      <c r="A712" s="26">
        <v>222102</v>
      </c>
      <c r="B712" s="27" t="s">
        <v>665</v>
      </c>
      <c r="C712" s="26" t="s">
        <v>126</v>
      </c>
      <c r="D712" s="27" t="s">
        <v>128</v>
      </c>
      <c r="G712" s="28">
        <v>0</v>
      </c>
      <c r="H712" s="26">
        <v>2182.5</v>
      </c>
      <c r="I712" s="26">
        <v>37</v>
      </c>
      <c r="J712" s="36">
        <v>1</v>
      </c>
      <c r="K712" s="34">
        <v>2014</v>
      </c>
      <c r="L712" s="34">
        <v>6</v>
      </c>
      <c r="M712" s="34">
        <v>30</v>
      </c>
      <c r="N712" s="26"/>
    </row>
    <row r="713" spans="1:14">
      <c r="A713" s="26">
        <v>222103</v>
      </c>
      <c r="B713" s="27" t="s">
        <v>665</v>
      </c>
      <c r="C713" s="26" t="s">
        <v>126</v>
      </c>
      <c r="D713" s="27" t="s">
        <v>129</v>
      </c>
      <c r="G713" s="28">
        <v>0</v>
      </c>
      <c r="H713" s="26">
        <v>152.78</v>
      </c>
      <c r="I713" s="26">
        <v>37</v>
      </c>
      <c r="J713" s="36">
        <v>1</v>
      </c>
      <c r="K713" s="34">
        <v>2014</v>
      </c>
      <c r="L713" s="34">
        <v>6</v>
      </c>
      <c r="M713" s="34">
        <v>30</v>
      </c>
      <c r="N713" s="26"/>
    </row>
    <row r="714" spans="1:14">
      <c r="A714" s="26">
        <v>222104</v>
      </c>
      <c r="B714" s="27" t="s">
        <v>665</v>
      </c>
      <c r="C714" s="26" t="s">
        <v>126</v>
      </c>
      <c r="D714" s="27" t="s">
        <v>130</v>
      </c>
      <c r="G714" s="28">
        <v>0</v>
      </c>
      <c r="H714" s="26">
        <v>109.13</v>
      </c>
      <c r="I714" s="26">
        <v>37</v>
      </c>
      <c r="J714" s="36">
        <v>1</v>
      </c>
      <c r="K714" s="34">
        <v>2014</v>
      </c>
      <c r="L714" s="34">
        <v>6</v>
      </c>
      <c r="M714" s="34">
        <v>30</v>
      </c>
      <c r="N714" s="26"/>
    </row>
    <row r="715" spans="1:14">
      <c r="A715" s="26">
        <v>222105</v>
      </c>
      <c r="B715" s="27" t="s">
        <v>665</v>
      </c>
      <c r="C715" s="26" t="s">
        <v>126</v>
      </c>
      <c r="D715" s="27" t="s">
        <v>131</v>
      </c>
      <c r="G715" s="28">
        <v>0</v>
      </c>
      <c r="H715" s="26">
        <v>14.2</v>
      </c>
      <c r="I715" s="26">
        <v>37</v>
      </c>
      <c r="J715" s="36">
        <v>1</v>
      </c>
      <c r="K715" s="34">
        <v>2014</v>
      </c>
      <c r="L715" s="34">
        <v>6</v>
      </c>
      <c r="M715" s="34">
        <v>30</v>
      </c>
      <c r="N715" s="26"/>
    </row>
    <row r="716" spans="1:14">
      <c r="A716" s="26">
        <v>224104</v>
      </c>
      <c r="B716" s="27" t="s">
        <v>665</v>
      </c>
      <c r="C716" s="26" t="s">
        <v>140</v>
      </c>
      <c r="D716" s="27" t="s">
        <v>142</v>
      </c>
      <c r="G716" s="28">
        <v>0</v>
      </c>
      <c r="H716" s="26">
        <v>47.24</v>
      </c>
      <c r="I716" s="26">
        <v>37</v>
      </c>
      <c r="J716" s="36">
        <v>1</v>
      </c>
      <c r="K716" s="34">
        <v>2014</v>
      </c>
      <c r="L716" s="34">
        <v>6</v>
      </c>
      <c r="M716" s="34">
        <v>30</v>
      </c>
      <c r="N716" s="26"/>
    </row>
    <row r="717" spans="1:14">
      <c r="A717" s="26">
        <v>222102</v>
      </c>
      <c r="B717" s="27" t="s">
        <v>666</v>
      </c>
      <c r="C717" s="26" t="s">
        <v>126</v>
      </c>
      <c r="D717" s="27" t="s">
        <v>128</v>
      </c>
      <c r="G717" s="28">
        <v>800</v>
      </c>
      <c r="H717" s="26">
        <v>0</v>
      </c>
      <c r="I717" s="26">
        <v>38</v>
      </c>
      <c r="J717" s="36">
        <v>0</v>
      </c>
      <c r="K717" s="34">
        <v>2014</v>
      </c>
      <c r="L717" s="34">
        <v>6</v>
      </c>
      <c r="M717" s="34">
        <v>30</v>
      </c>
      <c r="N717" s="26"/>
    </row>
    <row r="718" spans="1:14">
      <c r="A718" s="26">
        <v>222102</v>
      </c>
      <c r="B718" s="27" t="s">
        <v>667</v>
      </c>
      <c r="C718" s="26" t="s">
        <v>126</v>
      </c>
      <c r="D718" s="27" t="s">
        <v>128</v>
      </c>
      <c r="G718" s="28">
        <v>100</v>
      </c>
      <c r="H718" s="26">
        <v>0</v>
      </c>
      <c r="I718" s="26">
        <v>38</v>
      </c>
      <c r="J718" s="36">
        <v>0</v>
      </c>
      <c r="K718" s="34">
        <v>2014</v>
      </c>
      <c r="L718" s="34">
        <v>6</v>
      </c>
      <c r="M718" s="34">
        <v>30</v>
      </c>
      <c r="N718" s="26"/>
    </row>
    <row r="719" spans="1:14">
      <c r="A719" s="26">
        <v>222103</v>
      </c>
      <c r="B719" s="27" t="s">
        <v>666</v>
      </c>
      <c r="C719" s="26" t="s">
        <v>126</v>
      </c>
      <c r="D719" s="27" t="s">
        <v>129</v>
      </c>
      <c r="G719" s="28">
        <v>56</v>
      </c>
      <c r="H719" s="26">
        <v>0</v>
      </c>
      <c r="I719" s="26">
        <v>38</v>
      </c>
      <c r="J719" s="36">
        <v>0</v>
      </c>
      <c r="K719" s="34">
        <v>2014</v>
      </c>
      <c r="L719" s="34">
        <v>6</v>
      </c>
      <c r="M719" s="34">
        <v>30</v>
      </c>
      <c r="N719" s="26"/>
    </row>
    <row r="720" spans="1:14">
      <c r="A720" s="26">
        <v>222103</v>
      </c>
      <c r="B720" s="27" t="s">
        <v>667</v>
      </c>
      <c r="C720" s="26" t="s">
        <v>126</v>
      </c>
      <c r="D720" s="27" t="s">
        <v>129</v>
      </c>
      <c r="G720" s="28">
        <v>7</v>
      </c>
      <c r="H720" s="26">
        <v>0</v>
      </c>
      <c r="I720" s="26">
        <v>38</v>
      </c>
      <c r="J720" s="36">
        <v>0</v>
      </c>
      <c r="K720" s="34">
        <v>2014</v>
      </c>
      <c r="L720" s="34">
        <v>6</v>
      </c>
      <c r="M720" s="34">
        <v>30</v>
      </c>
      <c r="N720" s="26"/>
    </row>
    <row r="721" spans="1:14">
      <c r="A721" s="26">
        <v>222104</v>
      </c>
      <c r="B721" s="27" t="s">
        <v>666</v>
      </c>
      <c r="C721" s="26" t="s">
        <v>126</v>
      </c>
      <c r="D721" s="27" t="s">
        <v>130</v>
      </c>
      <c r="G721" s="28">
        <v>40</v>
      </c>
      <c r="H721" s="26">
        <v>0</v>
      </c>
      <c r="I721" s="26">
        <v>38</v>
      </c>
      <c r="J721" s="36">
        <v>0</v>
      </c>
      <c r="K721" s="34">
        <v>2014</v>
      </c>
      <c r="L721" s="34">
        <v>6</v>
      </c>
      <c r="M721" s="34">
        <v>30</v>
      </c>
      <c r="N721" s="26"/>
    </row>
    <row r="722" spans="1:14">
      <c r="A722" s="26">
        <v>222104</v>
      </c>
      <c r="B722" s="27" t="s">
        <v>667</v>
      </c>
      <c r="C722" s="26" t="s">
        <v>126</v>
      </c>
      <c r="D722" s="27" t="s">
        <v>130</v>
      </c>
      <c r="G722" s="28">
        <v>5</v>
      </c>
      <c r="H722" s="26">
        <v>0</v>
      </c>
      <c r="I722" s="26">
        <v>38</v>
      </c>
      <c r="J722" s="36">
        <v>0</v>
      </c>
      <c r="K722" s="34">
        <v>2014</v>
      </c>
      <c r="L722" s="34">
        <v>6</v>
      </c>
      <c r="M722" s="34">
        <v>30</v>
      </c>
      <c r="N722" s="26"/>
    </row>
    <row r="723" spans="1:14">
      <c r="A723" s="26">
        <v>530101</v>
      </c>
      <c r="B723" s="27" t="s">
        <v>668</v>
      </c>
      <c r="C723" s="26" t="s">
        <v>179</v>
      </c>
      <c r="D723" s="27" t="s">
        <v>199</v>
      </c>
      <c r="G723" s="28">
        <v>0</v>
      </c>
      <c r="H723" s="26">
        <v>1008</v>
      </c>
      <c r="I723" s="26">
        <v>38</v>
      </c>
      <c r="J723" s="36">
        <v>0</v>
      </c>
      <c r="K723" s="34">
        <v>2014</v>
      </c>
      <c r="L723" s="34">
        <v>6</v>
      </c>
      <c r="M723" s="34">
        <v>30</v>
      </c>
      <c r="N723" s="26"/>
    </row>
    <row r="724" spans="1:14">
      <c r="A724" s="26">
        <v>140501</v>
      </c>
      <c r="B724" s="27" t="s">
        <v>669</v>
      </c>
      <c r="C724" s="26" t="s">
        <v>89</v>
      </c>
      <c r="D724" s="27" t="s">
        <v>199</v>
      </c>
      <c r="G724" s="28">
        <v>556.4</v>
      </c>
      <c r="H724" s="26">
        <v>0</v>
      </c>
      <c r="I724" s="26">
        <v>39</v>
      </c>
      <c r="J724" s="36">
        <v>1</v>
      </c>
      <c r="K724" s="34">
        <v>2014</v>
      </c>
      <c r="L724" s="34">
        <v>6</v>
      </c>
      <c r="M724" s="34">
        <v>30</v>
      </c>
      <c r="N724" s="26"/>
    </row>
    <row r="725" spans="1:14">
      <c r="A725" s="26">
        <v>122105</v>
      </c>
      <c r="B725" s="27" t="s">
        <v>669</v>
      </c>
      <c r="C725" s="26" t="s">
        <v>78</v>
      </c>
      <c r="D725" s="27" t="s">
        <v>83</v>
      </c>
      <c r="G725" s="28">
        <v>0</v>
      </c>
      <c r="H725" s="26">
        <v>556.4</v>
      </c>
      <c r="I725" s="26">
        <v>39</v>
      </c>
      <c r="J725" s="36">
        <v>1</v>
      </c>
      <c r="K725" s="34">
        <v>2014</v>
      </c>
      <c r="L725" s="34">
        <v>6</v>
      </c>
      <c r="M725" s="34">
        <v>30</v>
      </c>
      <c r="N725" s="26"/>
    </row>
    <row r="726" spans="1:14">
      <c r="A726" s="26">
        <v>500101</v>
      </c>
      <c r="B726" s="27" t="s">
        <v>670</v>
      </c>
      <c r="C726" s="26" t="s">
        <v>157</v>
      </c>
      <c r="D726" s="27" t="s">
        <v>158</v>
      </c>
      <c r="G726" s="28">
        <v>0</v>
      </c>
      <c r="H726" s="26">
        <v>3589.74</v>
      </c>
      <c r="I726" s="26">
        <v>40</v>
      </c>
      <c r="J726" s="36">
        <v>2</v>
      </c>
      <c r="K726" s="34">
        <v>2014</v>
      </c>
      <c r="L726" s="34">
        <v>6</v>
      </c>
      <c r="M726" s="34">
        <v>30</v>
      </c>
      <c r="N726" s="26"/>
    </row>
    <row r="727" spans="1:14">
      <c r="A727" s="26">
        <v>222125</v>
      </c>
      <c r="B727" s="27" t="s">
        <v>670</v>
      </c>
      <c r="C727" s="26" t="s">
        <v>126</v>
      </c>
      <c r="D727" s="27" t="s">
        <v>136</v>
      </c>
      <c r="G727" s="28">
        <v>0</v>
      </c>
      <c r="H727" s="26">
        <v>610.26</v>
      </c>
      <c r="I727" s="26">
        <v>40</v>
      </c>
      <c r="J727" s="36">
        <v>2</v>
      </c>
      <c r="K727" s="34">
        <v>2014</v>
      </c>
      <c r="L727" s="34">
        <v>6</v>
      </c>
      <c r="M727" s="34">
        <v>30</v>
      </c>
      <c r="N727" s="26"/>
    </row>
    <row r="728" spans="1:14">
      <c r="A728" s="26">
        <v>112205</v>
      </c>
      <c r="B728" s="27" t="s">
        <v>671</v>
      </c>
      <c r="C728" s="26" t="s">
        <v>49</v>
      </c>
      <c r="D728" s="27" t="s">
        <v>366</v>
      </c>
      <c r="G728" s="28">
        <v>200</v>
      </c>
      <c r="H728" s="26">
        <v>0</v>
      </c>
      <c r="I728" s="26">
        <v>40</v>
      </c>
      <c r="J728" s="36">
        <v>2</v>
      </c>
      <c r="K728" s="34">
        <v>2014</v>
      </c>
      <c r="L728" s="34">
        <v>6</v>
      </c>
      <c r="M728" s="34">
        <v>30</v>
      </c>
      <c r="N728" s="26"/>
    </row>
    <row r="729" spans="1:14">
      <c r="A729" s="26">
        <v>112201</v>
      </c>
      <c r="B729" s="27" t="s">
        <v>672</v>
      </c>
      <c r="C729" s="26" t="s">
        <v>49</v>
      </c>
      <c r="D729" s="27" t="s">
        <v>50</v>
      </c>
      <c r="G729" s="28">
        <v>4000</v>
      </c>
      <c r="H729" s="26">
        <v>0</v>
      </c>
      <c r="I729" s="26">
        <v>40</v>
      </c>
      <c r="J729" s="36">
        <v>2</v>
      </c>
      <c r="K729" s="34">
        <v>2014</v>
      </c>
      <c r="L729" s="34">
        <v>6</v>
      </c>
      <c r="M729" s="34">
        <v>30</v>
      </c>
      <c r="N729" s="26"/>
    </row>
    <row r="730" spans="1:14">
      <c r="A730" s="26">
        <v>112204</v>
      </c>
      <c r="B730" s="27" t="s">
        <v>673</v>
      </c>
      <c r="C730" s="26" t="s">
        <v>49</v>
      </c>
      <c r="D730" s="27" t="s">
        <v>255</v>
      </c>
      <c r="G730" s="28">
        <v>28000</v>
      </c>
      <c r="H730" s="26">
        <v>0</v>
      </c>
      <c r="I730" s="26">
        <v>41</v>
      </c>
      <c r="J730" s="36">
        <v>3</v>
      </c>
      <c r="K730" s="34">
        <v>2014</v>
      </c>
      <c r="L730" s="34">
        <v>6</v>
      </c>
      <c r="M730" s="34">
        <v>30</v>
      </c>
      <c r="N730" s="26"/>
    </row>
    <row r="731" spans="1:14">
      <c r="A731" s="26">
        <v>500102</v>
      </c>
      <c r="B731" s="27" t="s">
        <v>674</v>
      </c>
      <c r="C731" s="26" t="s">
        <v>157</v>
      </c>
      <c r="D731" s="27" t="s">
        <v>159</v>
      </c>
      <c r="G731" s="28">
        <v>0</v>
      </c>
      <c r="H731" s="26">
        <v>28000</v>
      </c>
      <c r="I731" s="26">
        <v>41</v>
      </c>
      <c r="J731" s="36">
        <v>3</v>
      </c>
      <c r="K731" s="34">
        <v>2014</v>
      </c>
      <c r="L731" s="34">
        <v>6</v>
      </c>
      <c r="M731" s="34">
        <v>30</v>
      </c>
      <c r="N731" s="26"/>
    </row>
    <row r="732" spans="1:14">
      <c r="A732" s="26">
        <v>540101</v>
      </c>
      <c r="B732" s="27" t="s">
        <v>553</v>
      </c>
      <c r="C732" s="26" t="s">
        <v>161</v>
      </c>
      <c r="D732" s="27" t="s">
        <v>162</v>
      </c>
      <c r="G732" s="28">
        <v>846.15</v>
      </c>
      <c r="H732" s="26">
        <v>0</v>
      </c>
      <c r="I732" s="26">
        <v>42</v>
      </c>
      <c r="J732" s="36">
        <v>0</v>
      </c>
      <c r="K732" s="34">
        <v>2014</v>
      </c>
      <c r="L732" s="34">
        <v>6</v>
      </c>
      <c r="M732" s="34">
        <v>30</v>
      </c>
      <c r="N732" s="26"/>
    </row>
    <row r="733" spans="1:14">
      <c r="A733" s="26">
        <v>140501</v>
      </c>
      <c r="B733" s="27" t="s">
        <v>553</v>
      </c>
      <c r="C733" s="26" t="s">
        <v>89</v>
      </c>
      <c r="D733" s="27" t="s">
        <v>199</v>
      </c>
      <c r="G733" s="28">
        <v>0</v>
      </c>
      <c r="H733" s="26">
        <v>846.15</v>
      </c>
      <c r="I733" s="26">
        <v>42</v>
      </c>
      <c r="J733" s="36">
        <v>0</v>
      </c>
      <c r="K733" s="34">
        <v>2014</v>
      </c>
      <c r="L733" s="34">
        <v>6</v>
      </c>
      <c r="M733" s="34">
        <v>30</v>
      </c>
      <c r="N733" s="26"/>
    </row>
    <row r="734" spans="1:14">
      <c r="A734" s="26">
        <v>540103</v>
      </c>
      <c r="B734" s="27" t="s">
        <v>675</v>
      </c>
      <c r="C734" s="26" t="s">
        <v>161</v>
      </c>
      <c r="D734" s="27" t="s">
        <v>164</v>
      </c>
      <c r="G734" s="28">
        <v>19800</v>
      </c>
      <c r="H734" s="26">
        <v>0</v>
      </c>
      <c r="I734" s="26">
        <v>43</v>
      </c>
      <c r="J734" s="36">
        <v>0</v>
      </c>
      <c r="K734" s="34">
        <v>2014</v>
      </c>
      <c r="L734" s="34">
        <v>6</v>
      </c>
      <c r="M734" s="34">
        <v>30</v>
      </c>
      <c r="N734" s="26"/>
    </row>
    <row r="735" spans="1:14">
      <c r="A735" s="26">
        <v>440102</v>
      </c>
      <c r="B735" s="27" t="s">
        <v>675</v>
      </c>
      <c r="C735" s="26" t="s">
        <v>149</v>
      </c>
      <c r="D735" s="27" t="s">
        <v>151</v>
      </c>
      <c r="G735" s="28">
        <v>0</v>
      </c>
      <c r="H735" s="26">
        <v>19800</v>
      </c>
      <c r="I735" s="26">
        <v>43</v>
      </c>
      <c r="J735" s="36">
        <v>0</v>
      </c>
      <c r="K735" s="34">
        <v>2014</v>
      </c>
      <c r="L735" s="34">
        <v>6</v>
      </c>
      <c r="M735" s="34">
        <v>30</v>
      </c>
      <c r="N735" s="26"/>
    </row>
    <row r="736" spans="1:14">
      <c r="A736" s="26">
        <v>440106</v>
      </c>
      <c r="B736" s="27" t="s">
        <v>676</v>
      </c>
      <c r="C736" s="26" t="s">
        <v>149</v>
      </c>
      <c r="D736" s="27" t="s">
        <v>354</v>
      </c>
      <c r="G736" s="28">
        <v>46000</v>
      </c>
      <c r="H736" s="26">
        <v>0</v>
      </c>
      <c r="I736" s="26">
        <v>44</v>
      </c>
      <c r="J736" s="36">
        <v>0</v>
      </c>
      <c r="K736" s="34">
        <v>2014</v>
      </c>
      <c r="L736" s="34">
        <v>6</v>
      </c>
      <c r="M736" s="34">
        <v>30</v>
      </c>
      <c r="N736" s="26"/>
    </row>
    <row r="737" spans="1:14">
      <c r="A737" s="26">
        <v>112311</v>
      </c>
      <c r="B737" s="27" t="s">
        <v>677</v>
      </c>
      <c r="C737" s="26" t="s">
        <v>64</v>
      </c>
      <c r="D737" s="27" t="s">
        <v>70</v>
      </c>
      <c r="G737" s="28">
        <v>0</v>
      </c>
      <c r="H737" s="26">
        <v>16000</v>
      </c>
      <c r="I737" s="26">
        <v>44</v>
      </c>
      <c r="J737" s="36">
        <v>0</v>
      </c>
      <c r="K737" s="34">
        <v>2014</v>
      </c>
      <c r="L737" s="34">
        <v>6</v>
      </c>
      <c r="M737" s="34">
        <v>30</v>
      </c>
      <c r="N737" s="26"/>
    </row>
    <row r="738" spans="1:14">
      <c r="A738" s="26">
        <v>112311</v>
      </c>
      <c r="B738" s="27" t="s">
        <v>678</v>
      </c>
      <c r="C738" s="26" t="s">
        <v>64</v>
      </c>
      <c r="D738" s="27" t="s">
        <v>70</v>
      </c>
      <c r="E738" s="26" t="s">
        <v>199</v>
      </c>
      <c r="F738" s="26" t="s">
        <v>199</v>
      </c>
      <c r="G738" s="28">
        <v>0</v>
      </c>
      <c r="H738" s="26">
        <v>30000</v>
      </c>
      <c r="I738" s="26">
        <v>44</v>
      </c>
      <c r="J738" s="36">
        <v>0</v>
      </c>
      <c r="K738" s="34">
        <v>2014</v>
      </c>
      <c r="L738" s="34">
        <v>6</v>
      </c>
      <c r="M738" s="34">
        <v>30</v>
      </c>
      <c r="N738" s="26"/>
    </row>
    <row r="739" spans="1:14">
      <c r="A739" s="26">
        <v>221101</v>
      </c>
      <c r="B739" s="27" t="s">
        <v>679</v>
      </c>
      <c r="C739" s="26" t="s">
        <v>113</v>
      </c>
      <c r="D739" s="27" t="s">
        <v>114</v>
      </c>
      <c r="G739" s="28">
        <v>20420</v>
      </c>
      <c r="H739" s="26">
        <v>0</v>
      </c>
      <c r="I739" s="26">
        <v>1</v>
      </c>
      <c r="J739" s="36">
        <v>1</v>
      </c>
      <c r="K739" s="34">
        <v>2014</v>
      </c>
      <c r="L739" s="34">
        <v>7</v>
      </c>
      <c r="M739" s="34">
        <v>14</v>
      </c>
      <c r="N739" s="26"/>
    </row>
    <row r="740" spans="1:14">
      <c r="A740" s="26">
        <v>221104</v>
      </c>
      <c r="B740" s="27" t="s">
        <v>680</v>
      </c>
      <c r="C740" s="26" t="s">
        <v>113</v>
      </c>
      <c r="D740" s="27" t="s">
        <v>117</v>
      </c>
      <c r="G740" s="28">
        <v>0</v>
      </c>
      <c r="H740" s="26">
        <v>748.65</v>
      </c>
      <c r="I740" s="26">
        <v>1</v>
      </c>
      <c r="J740" s="36">
        <v>1</v>
      </c>
      <c r="K740" s="34">
        <v>2014</v>
      </c>
      <c r="L740" s="34">
        <v>7</v>
      </c>
      <c r="M740" s="34">
        <v>14</v>
      </c>
      <c r="N740" s="26"/>
    </row>
    <row r="741" spans="1:14">
      <c r="A741" s="26">
        <v>224105</v>
      </c>
      <c r="B741" s="27" t="s">
        <v>679</v>
      </c>
      <c r="C741" s="26" t="s">
        <v>140</v>
      </c>
      <c r="D741" s="27" t="s">
        <v>143</v>
      </c>
      <c r="G741" s="28">
        <v>0</v>
      </c>
      <c r="H741" s="26">
        <v>19671.35</v>
      </c>
      <c r="I741" s="26">
        <v>1</v>
      </c>
      <c r="J741" s="36">
        <v>1</v>
      </c>
      <c r="K741" s="34">
        <v>2014</v>
      </c>
      <c r="L741" s="34">
        <v>7</v>
      </c>
      <c r="M741" s="34">
        <v>14</v>
      </c>
      <c r="N741" s="26"/>
    </row>
    <row r="742" spans="1:14">
      <c r="A742" s="26">
        <v>560206</v>
      </c>
      <c r="B742" s="27" t="s">
        <v>681</v>
      </c>
      <c r="C742" s="26" t="s">
        <v>166</v>
      </c>
      <c r="D742" s="27" t="s">
        <v>172</v>
      </c>
      <c r="G742" s="28">
        <v>88</v>
      </c>
      <c r="H742" s="26">
        <v>0</v>
      </c>
      <c r="I742" s="26">
        <v>2</v>
      </c>
      <c r="J742" s="36">
        <v>2</v>
      </c>
      <c r="K742" s="34">
        <v>2014</v>
      </c>
      <c r="L742" s="34">
        <v>7</v>
      </c>
      <c r="M742" s="34">
        <v>14</v>
      </c>
      <c r="N742" s="26"/>
    </row>
    <row r="743" spans="1:14">
      <c r="A743" s="26">
        <v>224104</v>
      </c>
      <c r="B743" s="27" t="s">
        <v>682</v>
      </c>
      <c r="C743" s="26" t="s">
        <v>140</v>
      </c>
      <c r="D743" s="27" t="s">
        <v>142</v>
      </c>
      <c r="G743" s="28">
        <v>47.24</v>
      </c>
      <c r="H743" s="26">
        <v>0</v>
      </c>
      <c r="I743" s="26">
        <v>2</v>
      </c>
      <c r="J743" s="36">
        <v>2</v>
      </c>
      <c r="K743" s="34">
        <v>2014</v>
      </c>
      <c r="L743" s="34">
        <v>7</v>
      </c>
      <c r="M743" s="34">
        <v>14</v>
      </c>
      <c r="N743" s="26"/>
    </row>
    <row r="744" spans="1:14">
      <c r="A744" s="26">
        <v>100201</v>
      </c>
      <c r="B744" s="27" t="s">
        <v>683</v>
      </c>
      <c r="C744" s="26" t="s">
        <v>47</v>
      </c>
      <c r="D744" s="27" t="s">
        <v>48</v>
      </c>
      <c r="G744" s="28">
        <v>0</v>
      </c>
      <c r="H744" s="26">
        <v>135.24</v>
      </c>
      <c r="I744" s="26">
        <v>2</v>
      </c>
      <c r="J744" s="36">
        <v>2</v>
      </c>
      <c r="K744" s="34">
        <v>2014</v>
      </c>
      <c r="L744" s="34">
        <v>7</v>
      </c>
      <c r="M744" s="34">
        <v>14</v>
      </c>
      <c r="N744" s="26"/>
    </row>
    <row r="745" spans="1:14">
      <c r="A745" s="26">
        <v>220307</v>
      </c>
      <c r="B745" s="27" t="s">
        <v>684</v>
      </c>
      <c r="C745" s="26" t="s">
        <v>107</v>
      </c>
      <c r="D745" s="27" t="s">
        <v>112</v>
      </c>
      <c r="G745" s="28">
        <v>0</v>
      </c>
      <c r="H745" s="26">
        <v>55000</v>
      </c>
      <c r="I745" s="26">
        <v>3</v>
      </c>
      <c r="J745" s="36">
        <v>1</v>
      </c>
      <c r="K745" s="34">
        <v>2014</v>
      </c>
      <c r="L745" s="34">
        <v>7</v>
      </c>
      <c r="M745" s="34">
        <v>14</v>
      </c>
      <c r="N745" s="26"/>
    </row>
    <row r="746" spans="1:14">
      <c r="A746" s="26">
        <v>100201</v>
      </c>
      <c r="B746" s="27" t="s">
        <v>684</v>
      </c>
      <c r="C746" s="26" t="s">
        <v>47</v>
      </c>
      <c r="D746" s="27" t="s">
        <v>48</v>
      </c>
      <c r="G746" s="28">
        <v>55000</v>
      </c>
      <c r="H746" s="26">
        <v>0</v>
      </c>
      <c r="I746" s="26">
        <v>3</v>
      </c>
      <c r="J746" s="36">
        <v>1</v>
      </c>
      <c r="K746" s="34">
        <v>2014</v>
      </c>
      <c r="L746" s="34">
        <v>7</v>
      </c>
      <c r="M746" s="34">
        <v>14</v>
      </c>
      <c r="N746" s="26"/>
    </row>
    <row r="747" spans="1:14">
      <c r="A747" s="26">
        <v>560206</v>
      </c>
      <c r="B747" s="27" t="s">
        <v>685</v>
      </c>
      <c r="C747" s="26" t="s">
        <v>166</v>
      </c>
      <c r="D747" s="27" t="s">
        <v>172</v>
      </c>
      <c r="G747" s="28">
        <v>2490</v>
      </c>
      <c r="H747" s="26">
        <v>0</v>
      </c>
      <c r="I747" s="26">
        <v>4</v>
      </c>
      <c r="J747" s="36">
        <v>2</v>
      </c>
      <c r="K747" s="34">
        <v>2014</v>
      </c>
      <c r="L747" s="34">
        <v>7</v>
      </c>
      <c r="M747" s="34">
        <v>14</v>
      </c>
      <c r="N747" s="26"/>
    </row>
    <row r="748" spans="1:14">
      <c r="A748" s="26">
        <v>100201</v>
      </c>
      <c r="B748" s="27" t="s">
        <v>685</v>
      </c>
      <c r="C748" s="26" t="s">
        <v>47</v>
      </c>
      <c r="D748" s="27" t="s">
        <v>48</v>
      </c>
      <c r="G748" s="28">
        <v>0</v>
      </c>
      <c r="H748" s="26">
        <v>2490</v>
      </c>
      <c r="I748" s="26">
        <v>4</v>
      </c>
      <c r="J748" s="36">
        <v>2</v>
      </c>
      <c r="K748" s="34">
        <v>2014</v>
      </c>
      <c r="L748" s="34">
        <v>7</v>
      </c>
      <c r="M748" s="34">
        <v>14</v>
      </c>
      <c r="N748" s="26"/>
    </row>
    <row r="749" spans="1:14">
      <c r="A749" s="26">
        <v>112311</v>
      </c>
      <c r="B749" s="27" t="s">
        <v>686</v>
      </c>
      <c r="C749" s="26" t="s">
        <v>64</v>
      </c>
      <c r="D749" s="27" t="s">
        <v>70</v>
      </c>
      <c r="G749" s="28">
        <v>10000</v>
      </c>
      <c r="H749" s="26">
        <v>0</v>
      </c>
      <c r="I749" s="26">
        <v>5</v>
      </c>
      <c r="J749" s="36">
        <v>2</v>
      </c>
      <c r="K749" s="34">
        <v>2014</v>
      </c>
      <c r="L749" s="34">
        <v>7</v>
      </c>
      <c r="M749" s="34">
        <v>14</v>
      </c>
      <c r="N749" s="26"/>
    </row>
    <row r="750" spans="1:14">
      <c r="A750" s="26">
        <v>100201</v>
      </c>
      <c r="B750" s="27" t="s">
        <v>687</v>
      </c>
      <c r="C750" s="26" t="s">
        <v>47</v>
      </c>
      <c r="D750" s="27" t="s">
        <v>48</v>
      </c>
      <c r="G750" s="28">
        <v>0</v>
      </c>
      <c r="H750" s="26">
        <v>10000</v>
      </c>
      <c r="I750" s="26">
        <v>5</v>
      </c>
      <c r="J750" s="36">
        <v>2</v>
      </c>
      <c r="K750" s="34">
        <v>2014</v>
      </c>
      <c r="L750" s="34">
        <v>7</v>
      </c>
      <c r="M750" s="34">
        <v>14</v>
      </c>
      <c r="N750" s="26"/>
    </row>
    <row r="751" spans="1:14">
      <c r="A751" s="26">
        <v>540102</v>
      </c>
      <c r="B751" s="27" t="s">
        <v>688</v>
      </c>
      <c r="C751" s="26" t="s">
        <v>161</v>
      </c>
      <c r="D751" s="27" t="s">
        <v>163</v>
      </c>
      <c r="G751" s="28">
        <v>25200</v>
      </c>
      <c r="H751" s="26">
        <v>0</v>
      </c>
      <c r="I751" s="26">
        <v>6</v>
      </c>
      <c r="J751" s="36">
        <v>2</v>
      </c>
      <c r="K751" s="34">
        <v>2014</v>
      </c>
      <c r="L751" s="34">
        <v>7</v>
      </c>
      <c r="M751" s="34">
        <v>14</v>
      </c>
      <c r="N751" s="26"/>
    </row>
    <row r="752" spans="1:14">
      <c r="A752" s="26">
        <v>100201</v>
      </c>
      <c r="B752" s="27" t="s">
        <v>689</v>
      </c>
      <c r="C752" s="26" t="s">
        <v>47</v>
      </c>
      <c r="D752" s="27" t="s">
        <v>48</v>
      </c>
      <c r="G752" s="28">
        <v>0</v>
      </c>
      <c r="H752" s="26">
        <v>24000</v>
      </c>
      <c r="I752" s="26">
        <v>6</v>
      </c>
      <c r="J752" s="36">
        <v>2</v>
      </c>
      <c r="K752" s="34">
        <v>2014</v>
      </c>
      <c r="L752" s="34">
        <v>7</v>
      </c>
      <c r="M752" s="34">
        <v>14</v>
      </c>
      <c r="N752" s="26"/>
    </row>
    <row r="753" spans="1:14">
      <c r="A753" s="26">
        <v>100101</v>
      </c>
      <c r="B753" s="27" t="s">
        <v>690</v>
      </c>
      <c r="C753" s="26" t="s">
        <v>46</v>
      </c>
      <c r="D753" s="27" t="s">
        <v>199</v>
      </c>
      <c r="G753" s="28">
        <v>0</v>
      </c>
      <c r="H753" s="26">
        <v>1200</v>
      </c>
      <c r="I753" s="26">
        <v>6</v>
      </c>
      <c r="J753" s="36">
        <v>2</v>
      </c>
      <c r="K753" s="34">
        <v>2014</v>
      </c>
      <c r="L753" s="34">
        <v>7</v>
      </c>
      <c r="M753" s="34">
        <v>14</v>
      </c>
      <c r="N753" s="26"/>
    </row>
    <row r="754" spans="1:14">
      <c r="A754" s="26">
        <v>100101</v>
      </c>
      <c r="B754" s="27" t="s">
        <v>691</v>
      </c>
      <c r="C754" s="26" t="s">
        <v>46</v>
      </c>
      <c r="D754" s="27" t="s">
        <v>199</v>
      </c>
      <c r="G754" s="28">
        <v>15000</v>
      </c>
      <c r="H754" s="26">
        <v>0</v>
      </c>
      <c r="I754" s="26">
        <v>7</v>
      </c>
      <c r="J754" s="36">
        <v>1</v>
      </c>
      <c r="K754" s="34">
        <v>2014</v>
      </c>
      <c r="L754" s="34">
        <v>7</v>
      </c>
      <c r="M754" s="34">
        <v>14</v>
      </c>
      <c r="N754" s="26"/>
    </row>
    <row r="755" spans="1:14">
      <c r="A755" s="26">
        <v>100201</v>
      </c>
      <c r="B755" s="27" t="s">
        <v>691</v>
      </c>
      <c r="C755" s="26" t="s">
        <v>47</v>
      </c>
      <c r="D755" s="27" t="s">
        <v>48</v>
      </c>
      <c r="G755" s="28">
        <v>0</v>
      </c>
      <c r="H755" s="26">
        <v>15000</v>
      </c>
      <c r="I755" s="26">
        <v>7</v>
      </c>
      <c r="J755" s="36">
        <v>1</v>
      </c>
      <c r="K755" s="34">
        <v>2014</v>
      </c>
      <c r="L755" s="34">
        <v>7</v>
      </c>
      <c r="M755" s="34">
        <v>14</v>
      </c>
      <c r="N755" s="26"/>
    </row>
    <row r="756" spans="1:14">
      <c r="A756" s="26">
        <v>560208</v>
      </c>
      <c r="B756" s="27" t="s">
        <v>692</v>
      </c>
      <c r="C756" s="26" t="s">
        <v>166</v>
      </c>
      <c r="D756" s="27" t="s">
        <v>174</v>
      </c>
      <c r="G756" s="28">
        <v>50</v>
      </c>
      <c r="H756" s="26">
        <v>0</v>
      </c>
      <c r="I756" s="26">
        <v>8</v>
      </c>
      <c r="J756" s="36">
        <v>30</v>
      </c>
      <c r="K756" s="34">
        <v>2014</v>
      </c>
      <c r="L756" s="34">
        <v>7</v>
      </c>
      <c r="M756" s="34">
        <v>14</v>
      </c>
      <c r="N756" s="26"/>
    </row>
    <row r="757" spans="1:14">
      <c r="A757" s="26">
        <v>560203</v>
      </c>
      <c r="B757" s="27" t="s">
        <v>243</v>
      </c>
      <c r="C757" s="26" t="s">
        <v>166</v>
      </c>
      <c r="D757" s="27" t="s">
        <v>169</v>
      </c>
      <c r="G757" s="28">
        <v>382</v>
      </c>
      <c r="H757" s="26">
        <v>0</v>
      </c>
      <c r="I757" s="26">
        <v>8</v>
      </c>
      <c r="J757" s="36">
        <v>30</v>
      </c>
      <c r="K757" s="34">
        <v>2014</v>
      </c>
      <c r="L757" s="34">
        <v>7</v>
      </c>
      <c r="M757" s="34">
        <v>14</v>
      </c>
      <c r="N757" s="26"/>
    </row>
    <row r="758" spans="1:14">
      <c r="A758" s="26">
        <v>100101</v>
      </c>
      <c r="B758" s="27" t="s">
        <v>693</v>
      </c>
      <c r="C758" s="26" t="s">
        <v>46</v>
      </c>
      <c r="D758" s="27" t="s">
        <v>199</v>
      </c>
      <c r="G758" s="28">
        <v>0</v>
      </c>
      <c r="H758" s="26">
        <v>432</v>
      </c>
      <c r="I758" s="26">
        <v>8</v>
      </c>
      <c r="J758" s="36">
        <v>30</v>
      </c>
      <c r="K758" s="34">
        <v>2014</v>
      </c>
      <c r="L758" s="34">
        <v>7</v>
      </c>
      <c r="M758" s="34">
        <v>14</v>
      </c>
      <c r="N758" s="26"/>
    </row>
    <row r="759" spans="1:14">
      <c r="A759" s="26">
        <v>560206</v>
      </c>
      <c r="B759" s="27" t="s">
        <v>694</v>
      </c>
      <c r="C759" s="26" t="s">
        <v>166</v>
      </c>
      <c r="D759" s="27" t="s">
        <v>172</v>
      </c>
      <c r="G759" s="28">
        <v>116</v>
      </c>
      <c r="H759" s="26">
        <v>0</v>
      </c>
      <c r="I759" s="26">
        <v>9</v>
      </c>
      <c r="J759" s="36">
        <v>3</v>
      </c>
      <c r="K759" s="34">
        <v>2014</v>
      </c>
      <c r="L759" s="34">
        <v>7</v>
      </c>
      <c r="M759" s="34">
        <v>14</v>
      </c>
      <c r="N759" s="26"/>
    </row>
    <row r="760" spans="1:14">
      <c r="A760" s="26">
        <v>560209</v>
      </c>
      <c r="B760" s="27" t="s">
        <v>695</v>
      </c>
      <c r="C760" s="26" t="s">
        <v>166</v>
      </c>
      <c r="D760" s="27" t="s">
        <v>175</v>
      </c>
      <c r="G760" s="28">
        <v>54.99</v>
      </c>
      <c r="H760" s="26">
        <v>0</v>
      </c>
      <c r="I760" s="26">
        <v>9</v>
      </c>
      <c r="J760" s="36">
        <v>3</v>
      </c>
      <c r="K760" s="34">
        <v>2014</v>
      </c>
      <c r="L760" s="34">
        <v>7</v>
      </c>
      <c r="M760" s="34">
        <v>14</v>
      </c>
      <c r="N760" s="26"/>
    </row>
    <row r="761" spans="1:14">
      <c r="A761" s="26">
        <v>100101</v>
      </c>
      <c r="B761" s="27" t="s">
        <v>696</v>
      </c>
      <c r="C761" s="26" t="s">
        <v>46</v>
      </c>
      <c r="D761" s="27" t="s">
        <v>199</v>
      </c>
      <c r="G761" s="28">
        <v>0</v>
      </c>
      <c r="H761" s="26">
        <v>170.99</v>
      </c>
      <c r="I761" s="26">
        <v>9</v>
      </c>
      <c r="J761" s="36">
        <v>3</v>
      </c>
      <c r="K761" s="34">
        <v>2014</v>
      </c>
      <c r="L761" s="34">
        <v>7</v>
      </c>
      <c r="M761" s="34">
        <v>14</v>
      </c>
      <c r="N761" s="26"/>
    </row>
    <row r="762" spans="1:14">
      <c r="A762" s="26">
        <v>112312</v>
      </c>
      <c r="B762" s="27" t="s">
        <v>542</v>
      </c>
      <c r="C762" s="26" t="s">
        <v>64</v>
      </c>
      <c r="D762" s="27" t="s">
        <v>71</v>
      </c>
      <c r="G762" s="28">
        <v>1000</v>
      </c>
      <c r="H762" s="26">
        <v>0</v>
      </c>
      <c r="I762" s="26">
        <v>10</v>
      </c>
      <c r="J762" s="36">
        <v>1</v>
      </c>
      <c r="K762" s="34">
        <v>2014</v>
      </c>
      <c r="L762" s="34">
        <v>7</v>
      </c>
      <c r="M762" s="34">
        <v>14</v>
      </c>
      <c r="N762" s="26"/>
    </row>
    <row r="763" spans="1:14">
      <c r="A763" s="26">
        <v>100101</v>
      </c>
      <c r="B763" s="27" t="s">
        <v>697</v>
      </c>
      <c r="C763" s="26" t="s">
        <v>46</v>
      </c>
      <c r="D763" s="27" t="s">
        <v>199</v>
      </c>
      <c r="G763" s="28">
        <v>0</v>
      </c>
      <c r="H763" s="26">
        <v>1000</v>
      </c>
      <c r="I763" s="26">
        <v>10</v>
      </c>
      <c r="J763" s="36">
        <v>1</v>
      </c>
      <c r="K763" s="34">
        <v>2014</v>
      </c>
      <c r="L763" s="34">
        <v>7</v>
      </c>
      <c r="M763" s="34">
        <v>14</v>
      </c>
      <c r="N763" s="26"/>
    </row>
    <row r="764" spans="1:14">
      <c r="A764" s="26">
        <v>112204</v>
      </c>
      <c r="B764" s="27" t="s">
        <v>698</v>
      </c>
      <c r="C764" s="26" t="s">
        <v>49</v>
      </c>
      <c r="D764" s="27" t="s">
        <v>255</v>
      </c>
      <c r="G764" s="28">
        <v>23500</v>
      </c>
      <c r="H764" s="26">
        <v>0</v>
      </c>
      <c r="I764" s="26">
        <v>11</v>
      </c>
      <c r="J764" s="36">
        <v>3</v>
      </c>
      <c r="K764" s="34">
        <v>2014</v>
      </c>
      <c r="L764" s="34">
        <v>7</v>
      </c>
      <c r="M764" s="34">
        <v>14</v>
      </c>
      <c r="N764" s="26"/>
    </row>
    <row r="765" spans="1:14">
      <c r="A765" s="26">
        <v>500102</v>
      </c>
      <c r="B765" s="27" t="s">
        <v>698</v>
      </c>
      <c r="C765" s="26" t="s">
        <v>157</v>
      </c>
      <c r="D765" s="27" t="s">
        <v>159</v>
      </c>
      <c r="G765" s="28">
        <v>0</v>
      </c>
      <c r="H765" s="26">
        <v>23500</v>
      </c>
      <c r="I765" s="26">
        <v>11</v>
      </c>
      <c r="J765" s="36">
        <v>3</v>
      </c>
      <c r="K765" s="34">
        <v>2014</v>
      </c>
      <c r="L765" s="34">
        <v>7</v>
      </c>
      <c r="M765" s="34">
        <v>14</v>
      </c>
      <c r="N765" s="26"/>
    </row>
    <row r="766" spans="1:14">
      <c r="A766" s="26">
        <v>112204</v>
      </c>
      <c r="B766" s="27" t="s">
        <v>699</v>
      </c>
      <c r="C766" s="26" t="s">
        <v>49</v>
      </c>
      <c r="D766" s="27" t="s">
        <v>255</v>
      </c>
      <c r="G766" s="28">
        <v>3500</v>
      </c>
      <c r="H766" s="26">
        <v>0</v>
      </c>
      <c r="I766" s="26">
        <v>12</v>
      </c>
      <c r="J766" s="36">
        <v>3</v>
      </c>
      <c r="K766" s="34">
        <v>2014</v>
      </c>
      <c r="L766" s="34">
        <v>7</v>
      </c>
      <c r="M766" s="34">
        <v>14</v>
      </c>
      <c r="N766" s="26"/>
    </row>
    <row r="767" spans="1:14">
      <c r="A767" s="26">
        <v>500102</v>
      </c>
      <c r="B767" s="27" t="s">
        <v>700</v>
      </c>
      <c r="C767" s="26" t="s">
        <v>157</v>
      </c>
      <c r="D767" s="27" t="s">
        <v>159</v>
      </c>
      <c r="G767" s="28">
        <v>0</v>
      </c>
      <c r="H767" s="26">
        <v>8750</v>
      </c>
      <c r="I767" s="26">
        <v>12</v>
      </c>
      <c r="J767" s="36">
        <v>3</v>
      </c>
      <c r="K767" s="34">
        <v>2014</v>
      </c>
      <c r="L767" s="34">
        <v>7</v>
      </c>
      <c r="M767" s="34">
        <v>14</v>
      </c>
      <c r="N767" s="26"/>
    </row>
    <row r="768" spans="1:14">
      <c r="A768" s="26">
        <v>112204</v>
      </c>
      <c r="B768" s="27" t="s">
        <v>701</v>
      </c>
      <c r="C768" s="26" t="s">
        <v>49</v>
      </c>
      <c r="D768" s="27" t="s">
        <v>255</v>
      </c>
      <c r="G768" s="28">
        <v>1750</v>
      </c>
      <c r="H768" s="26">
        <v>0</v>
      </c>
      <c r="I768" s="26">
        <v>12</v>
      </c>
      <c r="J768" s="36">
        <v>3</v>
      </c>
      <c r="K768" s="34">
        <v>2014</v>
      </c>
      <c r="L768" s="34">
        <v>7</v>
      </c>
      <c r="M768" s="34">
        <v>14</v>
      </c>
      <c r="N768" s="26"/>
    </row>
    <row r="769" spans="1:14">
      <c r="A769" s="26">
        <v>112204</v>
      </c>
      <c r="B769" s="27" t="s">
        <v>702</v>
      </c>
      <c r="C769" s="26" t="s">
        <v>49</v>
      </c>
      <c r="D769" s="27" t="s">
        <v>255</v>
      </c>
      <c r="E769" s="26" t="s">
        <v>199</v>
      </c>
      <c r="F769" s="26" t="s">
        <v>199</v>
      </c>
      <c r="G769" s="28">
        <v>3500</v>
      </c>
      <c r="H769" s="26">
        <v>0</v>
      </c>
      <c r="I769" s="26">
        <v>12</v>
      </c>
      <c r="J769" s="36">
        <v>3</v>
      </c>
      <c r="K769" s="34">
        <v>2014</v>
      </c>
      <c r="L769" s="34">
        <v>7</v>
      </c>
      <c r="M769" s="34">
        <v>14</v>
      </c>
      <c r="N769" s="26"/>
    </row>
    <row r="770" spans="1:14">
      <c r="A770" s="26">
        <v>112205</v>
      </c>
      <c r="B770" s="27" t="s">
        <v>703</v>
      </c>
      <c r="C770" s="26" t="s">
        <v>49</v>
      </c>
      <c r="D770" s="27" t="s">
        <v>366</v>
      </c>
      <c r="G770" s="28">
        <v>870</v>
      </c>
      <c r="H770" s="26">
        <v>0</v>
      </c>
      <c r="I770" s="26">
        <v>13</v>
      </c>
      <c r="J770" s="36">
        <v>1</v>
      </c>
      <c r="K770" s="34">
        <v>2014</v>
      </c>
      <c r="L770" s="34">
        <v>7</v>
      </c>
      <c r="M770" s="34">
        <v>14</v>
      </c>
      <c r="N770" s="26"/>
    </row>
    <row r="771" spans="1:14">
      <c r="A771" s="26">
        <v>500101</v>
      </c>
      <c r="B771" s="27" t="s">
        <v>703</v>
      </c>
      <c r="C771" s="26" t="s">
        <v>157</v>
      </c>
      <c r="D771" s="27" t="s">
        <v>158</v>
      </c>
      <c r="G771" s="28">
        <v>0</v>
      </c>
      <c r="H771" s="26">
        <v>743.59</v>
      </c>
      <c r="I771" s="26">
        <v>13</v>
      </c>
      <c r="J771" s="36">
        <v>1</v>
      </c>
      <c r="K771" s="34">
        <v>2014</v>
      </c>
      <c r="L771" s="34">
        <v>7</v>
      </c>
      <c r="M771" s="34">
        <v>14</v>
      </c>
      <c r="N771" s="26"/>
    </row>
    <row r="772" spans="1:14">
      <c r="A772" s="26">
        <v>222125</v>
      </c>
      <c r="B772" s="27" t="s">
        <v>703</v>
      </c>
      <c r="C772" s="26" t="s">
        <v>126</v>
      </c>
      <c r="D772" s="27" t="s">
        <v>136</v>
      </c>
      <c r="E772" s="26" t="s">
        <v>199</v>
      </c>
      <c r="F772" s="26" t="s">
        <v>199</v>
      </c>
      <c r="G772" s="28">
        <v>0</v>
      </c>
      <c r="H772" s="26">
        <v>126.41</v>
      </c>
      <c r="I772" s="26">
        <v>13</v>
      </c>
      <c r="J772" s="36">
        <v>1</v>
      </c>
      <c r="K772" s="34">
        <v>2014</v>
      </c>
      <c r="L772" s="34">
        <v>7</v>
      </c>
      <c r="M772" s="34">
        <v>14</v>
      </c>
      <c r="N772" s="26"/>
    </row>
    <row r="773" spans="1:14">
      <c r="A773" s="26">
        <v>112314</v>
      </c>
      <c r="B773" s="27" t="s">
        <v>704</v>
      </c>
      <c r="C773" s="26" t="s">
        <v>64</v>
      </c>
      <c r="D773" s="27" t="s">
        <v>73</v>
      </c>
      <c r="G773" s="28">
        <v>59500</v>
      </c>
      <c r="H773" s="26">
        <v>0</v>
      </c>
      <c r="I773" s="26">
        <v>14</v>
      </c>
      <c r="J773" s="36">
        <v>2</v>
      </c>
      <c r="K773" s="34">
        <v>2014</v>
      </c>
      <c r="L773" s="34">
        <v>7</v>
      </c>
      <c r="M773" s="34">
        <v>14</v>
      </c>
      <c r="N773" s="26"/>
    </row>
    <row r="774" spans="1:14">
      <c r="A774" s="26">
        <v>112314</v>
      </c>
      <c r="B774" s="27" t="s">
        <v>705</v>
      </c>
      <c r="C774" s="26" t="s">
        <v>64</v>
      </c>
      <c r="D774" s="27" t="s">
        <v>73</v>
      </c>
      <c r="G774" s="28">
        <v>25000</v>
      </c>
      <c r="H774" s="26">
        <v>0</v>
      </c>
      <c r="I774" s="26">
        <v>14</v>
      </c>
      <c r="J774" s="36">
        <v>2</v>
      </c>
      <c r="K774" s="34">
        <v>2014</v>
      </c>
      <c r="L774" s="34">
        <v>7</v>
      </c>
      <c r="M774" s="34">
        <v>14</v>
      </c>
      <c r="N774" s="26"/>
    </row>
    <row r="775" spans="1:14">
      <c r="A775" s="26">
        <v>100201</v>
      </c>
      <c r="B775" s="27" t="s">
        <v>704</v>
      </c>
      <c r="C775" s="26" t="s">
        <v>47</v>
      </c>
      <c r="D775" s="27" t="s">
        <v>48</v>
      </c>
      <c r="G775" s="28">
        <v>0</v>
      </c>
      <c r="H775" s="26">
        <v>59500</v>
      </c>
      <c r="I775" s="26">
        <v>14</v>
      </c>
      <c r="J775" s="36">
        <v>2</v>
      </c>
      <c r="K775" s="34">
        <v>2014</v>
      </c>
      <c r="L775" s="34">
        <v>7</v>
      </c>
      <c r="M775" s="34">
        <v>14</v>
      </c>
      <c r="N775" s="26"/>
    </row>
    <row r="776" spans="1:14">
      <c r="A776" s="26">
        <v>100201</v>
      </c>
      <c r="B776" s="27" t="s">
        <v>705</v>
      </c>
      <c r="C776" s="26" t="s">
        <v>47</v>
      </c>
      <c r="D776" s="27" t="s">
        <v>48</v>
      </c>
      <c r="G776" s="28">
        <v>0</v>
      </c>
      <c r="H776" s="26">
        <v>25000</v>
      </c>
      <c r="I776" s="26">
        <v>14</v>
      </c>
      <c r="J776" s="36">
        <v>2</v>
      </c>
      <c r="K776" s="34">
        <v>2014</v>
      </c>
      <c r="L776" s="34">
        <v>7</v>
      </c>
      <c r="M776" s="34">
        <v>14</v>
      </c>
      <c r="N776" s="26"/>
    </row>
    <row r="777" spans="1:14">
      <c r="A777" s="26">
        <v>112204</v>
      </c>
      <c r="B777" s="27" t="s">
        <v>706</v>
      </c>
      <c r="C777" s="26" t="s">
        <v>49</v>
      </c>
      <c r="D777" s="27" t="s">
        <v>255</v>
      </c>
      <c r="G777" s="28">
        <v>0</v>
      </c>
      <c r="H777" s="26">
        <v>28000</v>
      </c>
      <c r="I777" s="26">
        <v>15</v>
      </c>
      <c r="J777" s="36">
        <v>1</v>
      </c>
      <c r="K777" s="34">
        <v>2014</v>
      </c>
      <c r="L777" s="34">
        <v>7</v>
      </c>
      <c r="M777" s="34">
        <v>14</v>
      </c>
      <c r="N777" s="26"/>
    </row>
    <row r="778" spans="1:14">
      <c r="A778" s="26">
        <v>100201</v>
      </c>
      <c r="B778" s="27" t="s">
        <v>706</v>
      </c>
      <c r="C778" s="26" t="s">
        <v>47</v>
      </c>
      <c r="D778" s="27" t="s">
        <v>48</v>
      </c>
      <c r="G778" s="28">
        <v>28000</v>
      </c>
      <c r="H778" s="26">
        <v>0</v>
      </c>
      <c r="I778" s="26">
        <v>15</v>
      </c>
      <c r="J778" s="36">
        <v>1</v>
      </c>
      <c r="K778" s="34">
        <v>2014</v>
      </c>
      <c r="L778" s="34">
        <v>7</v>
      </c>
      <c r="M778" s="34">
        <v>14</v>
      </c>
      <c r="N778" s="26"/>
    </row>
    <row r="779" spans="1:14">
      <c r="A779" s="26">
        <v>221104</v>
      </c>
      <c r="B779" s="27" t="s">
        <v>707</v>
      </c>
      <c r="C779" s="26" t="s">
        <v>113</v>
      </c>
      <c r="D779" s="27" t="s">
        <v>117</v>
      </c>
      <c r="G779" s="28">
        <v>5518.31</v>
      </c>
      <c r="H779" s="26">
        <v>0</v>
      </c>
      <c r="I779" s="26">
        <v>16</v>
      </c>
      <c r="J779" s="36">
        <v>3</v>
      </c>
      <c r="K779" s="34">
        <v>2014</v>
      </c>
      <c r="L779" s="34">
        <v>7</v>
      </c>
      <c r="M779" s="34">
        <v>14</v>
      </c>
      <c r="N779" s="26"/>
    </row>
    <row r="780" spans="1:14">
      <c r="A780" s="26">
        <v>221104</v>
      </c>
      <c r="B780" s="27" t="s">
        <v>708</v>
      </c>
      <c r="C780" s="26" t="s">
        <v>113</v>
      </c>
      <c r="D780" s="27" t="s">
        <v>117</v>
      </c>
      <c r="G780" s="28">
        <v>838.49</v>
      </c>
      <c r="H780" s="26">
        <v>0</v>
      </c>
      <c r="I780" s="26">
        <v>16</v>
      </c>
      <c r="J780" s="36">
        <v>3</v>
      </c>
      <c r="K780" s="34">
        <v>2014</v>
      </c>
      <c r="L780" s="34">
        <v>7</v>
      </c>
      <c r="M780" s="34">
        <v>14</v>
      </c>
      <c r="N780" s="26"/>
    </row>
    <row r="781" spans="1:14">
      <c r="A781" s="26">
        <v>100201</v>
      </c>
      <c r="B781" s="27" t="s">
        <v>709</v>
      </c>
      <c r="C781" s="26" t="s">
        <v>47</v>
      </c>
      <c r="D781" s="27" t="s">
        <v>48</v>
      </c>
      <c r="G781" s="28">
        <v>0</v>
      </c>
      <c r="H781" s="26">
        <v>6356.8</v>
      </c>
      <c r="I781" s="26">
        <v>16</v>
      </c>
      <c r="J781" s="36">
        <v>3</v>
      </c>
      <c r="K781" s="34">
        <v>2014</v>
      </c>
      <c r="L781" s="34">
        <v>7</v>
      </c>
      <c r="M781" s="34">
        <v>14</v>
      </c>
      <c r="N781" s="26"/>
    </row>
    <row r="782" spans="1:14">
      <c r="A782" s="26">
        <v>560301</v>
      </c>
      <c r="B782" s="27" t="s">
        <v>178</v>
      </c>
      <c r="C782" s="26" t="s">
        <v>177</v>
      </c>
      <c r="D782" s="27" t="s">
        <v>199</v>
      </c>
      <c r="G782" s="28">
        <v>23</v>
      </c>
      <c r="H782" s="26">
        <v>0</v>
      </c>
      <c r="I782" s="26">
        <v>17</v>
      </c>
      <c r="J782" s="36">
        <v>4</v>
      </c>
      <c r="K782" s="34">
        <v>2014</v>
      </c>
      <c r="L782" s="34">
        <v>7</v>
      </c>
      <c r="M782" s="34">
        <v>14</v>
      </c>
      <c r="N782" s="26"/>
    </row>
    <row r="783" spans="1:14">
      <c r="A783" s="26">
        <v>100201</v>
      </c>
      <c r="B783" s="27" t="s">
        <v>710</v>
      </c>
      <c r="C783" s="26" t="s">
        <v>47</v>
      </c>
      <c r="D783" s="27" t="s">
        <v>48</v>
      </c>
      <c r="G783" s="28">
        <v>0</v>
      </c>
      <c r="H783" s="26">
        <v>10.5</v>
      </c>
      <c r="I783" s="26">
        <v>17</v>
      </c>
      <c r="J783" s="36">
        <v>4</v>
      </c>
      <c r="K783" s="34">
        <v>2014</v>
      </c>
      <c r="L783" s="34">
        <v>7</v>
      </c>
      <c r="M783" s="34">
        <v>14</v>
      </c>
      <c r="N783" s="26"/>
    </row>
    <row r="784" spans="1:14">
      <c r="A784" s="26">
        <v>100201</v>
      </c>
      <c r="B784" s="27" t="s">
        <v>711</v>
      </c>
      <c r="C784" s="26" t="s">
        <v>47</v>
      </c>
      <c r="D784" s="27" t="s">
        <v>48</v>
      </c>
      <c r="G784" s="28">
        <v>0</v>
      </c>
      <c r="H784" s="26">
        <v>1</v>
      </c>
      <c r="I784" s="26">
        <v>17</v>
      </c>
      <c r="J784" s="36">
        <v>4</v>
      </c>
      <c r="K784" s="34">
        <v>2014</v>
      </c>
      <c r="L784" s="34">
        <v>7</v>
      </c>
      <c r="M784" s="34">
        <v>14</v>
      </c>
      <c r="N784" s="26"/>
    </row>
    <row r="785" spans="1:14">
      <c r="A785" s="26">
        <v>100201</v>
      </c>
      <c r="B785" s="27" t="s">
        <v>712</v>
      </c>
      <c r="C785" s="26" t="s">
        <v>47</v>
      </c>
      <c r="D785" s="27" t="s">
        <v>48</v>
      </c>
      <c r="G785" s="28">
        <v>0</v>
      </c>
      <c r="H785" s="26">
        <v>11.5</v>
      </c>
      <c r="I785" s="26">
        <v>17</v>
      </c>
      <c r="J785" s="36">
        <v>4</v>
      </c>
      <c r="K785" s="34">
        <v>2014</v>
      </c>
      <c r="L785" s="34">
        <v>7</v>
      </c>
      <c r="M785" s="34">
        <v>14</v>
      </c>
      <c r="N785" s="26"/>
    </row>
    <row r="786" spans="1:14">
      <c r="A786" s="26">
        <v>222105</v>
      </c>
      <c r="B786" s="27" t="s">
        <v>713</v>
      </c>
      <c r="C786" s="26" t="s">
        <v>126</v>
      </c>
      <c r="D786" s="27" t="s">
        <v>131</v>
      </c>
      <c r="G786" s="28">
        <v>14.2</v>
      </c>
      <c r="H786" s="26">
        <v>0</v>
      </c>
      <c r="I786" s="26">
        <v>18</v>
      </c>
      <c r="J786" s="36">
        <v>1</v>
      </c>
      <c r="K786" s="34">
        <v>2014</v>
      </c>
      <c r="L786" s="34">
        <v>7</v>
      </c>
      <c r="M786" s="34">
        <v>14</v>
      </c>
      <c r="N786" s="26"/>
    </row>
    <row r="787" spans="1:14">
      <c r="A787" s="26">
        <v>100201</v>
      </c>
      <c r="B787" s="27" t="s">
        <v>713</v>
      </c>
      <c r="C787" s="26" t="s">
        <v>47</v>
      </c>
      <c r="D787" s="27" t="s">
        <v>48</v>
      </c>
      <c r="G787" s="28">
        <v>0</v>
      </c>
      <c r="H787" s="26">
        <v>14.2</v>
      </c>
      <c r="I787" s="26">
        <v>18</v>
      </c>
      <c r="J787" s="36">
        <v>1</v>
      </c>
      <c r="K787" s="34">
        <v>2014</v>
      </c>
      <c r="L787" s="34">
        <v>7</v>
      </c>
      <c r="M787" s="34">
        <v>14</v>
      </c>
      <c r="N787" s="26"/>
    </row>
    <row r="788" spans="1:14">
      <c r="A788" s="26">
        <v>222102</v>
      </c>
      <c r="B788" s="27" t="s">
        <v>714</v>
      </c>
      <c r="C788" s="26" t="s">
        <v>126</v>
      </c>
      <c r="D788" s="27" t="s">
        <v>128</v>
      </c>
      <c r="G788" s="28">
        <v>2182.5</v>
      </c>
      <c r="H788" s="26">
        <v>0</v>
      </c>
      <c r="I788" s="26">
        <v>19</v>
      </c>
      <c r="J788" s="36">
        <v>1</v>
      </c>
      <c r="K788" s="34">
        <v>2014</v>
      </c>
      <c r="L788" s="34">
        <v>7</v>
      </c>
      <c r="M788" s="34">
        <v>14</v>
      </c>
      <c r="N788" s="26"/>
    </row>
    <row r="789" spans="1:14">
      <c r="A789" s="26">
        <v>222103</v>
      </c>
      <c r="B789" s="27" t="s">
        <v>714</v>
      </c>
      <c r="C789" s="26" t="s">
        <v>126</v>
      </c>
      <c r="D789" s="27" t="s">
        <v>129</v>
      </c>
      <c r="G789" s="28">
        <v>152.78</v>
      </c>
      <c r="H789" s="26">
        <v>0</v>
      </c>
      <c r="I789" s="26">
        <v>19</v>
      </c>
      <c r="J789" s="36">
        <v>1</v>
      </c>
      <c r="K789" s="34">
        <v>2014</v>
      </c>
      <c r="L789" s="34">
        <v>7</v>
      </c>
      <c r="M789" s="34">
        <v>14</v>
      </c>
      <c r="N789" s="26"/>
    </row>
    <row r="790" spans="1:14">
      <c r="A790" s="26">
        <v>222104</v>
      </c>
      <c r="B790" s="27" t="s">
        <v>714</v>
      </c>
      <c r="C790" s="26" t="s">
        <v>126</v>
      </c>
      <c r="D790" s="27" t="s">
        <v>130</v>
      </c>
      <c r="G790" s="28">
        <v>109.13</v>
      </c>
      <c r="H790" s="26">
        <v>0</v>
      </c>
      <c r="I790" s="26">
        <v>19</v>
      </c>
      <c r="J790" s="36">
        <v>1</v>
      </c>
      <c r="K790" s="34">
        <v>2014</v>
      </c>
      <c r="L790" s="34">
        <v>7</v>
      </c>
      <c r="M790" s="34">
        <v>14</v>
      </c>
      <c r="N790" s="26"/>
    </row>
    <row r="791" spans="1:14">
      <c r="A791" s="26">
        <v>100201</v>
      </c>
      <c r="B791" s="27" t="s">
        <v>715</v>
      </c>
      <c r="C791" s="26" t="s">
        <v>47</v>
      </c>
      <c r="D791" s="27" t="s">
        <v>48</v>
      </c>
      <c r="G791" s="28">
        <v>0</v>
      </c>
      <c r="H791" s="26">
        <v>2444.41</v>
      </c>
      <c r="I791" s="26">
        <v>19</v>
      </c>
      <c r="J791" s="36">
        <v>1</v>
      </c>
      <c r="K791" s="34">
        <v>2014</v>
      </c>
      <c r="L791" s="34">
        <v>7</v>
      </c>
      <c r="M791" s="34">
        <v>14</v>
      </c>
      <c r="N791" s="26"/>
    </row>
    <row r="792" spans="1:14">
      <c r="A792" s="26">
        <v>221104</v>
      </c>
      <c r="B792" s="27" t="s">
        <v>716</v>
      </c>
      <c r="C792" s="26" t="s">
        <v>113</v>
      </c>
      <c r="D792" s="27" t="s">
        <v>117</v>
      </c>
      <c r="G792" s="28">
        <v>1861.86</v>
      </c>
      <c r="H792" s="26">
        <v>0</v>
      </c>
      <c r="I792" s="26">
        <v>20</v>
      </c>
      <c r="J792" s="36">
        <v>1</v>
      </c>
      <c r="K792" s="34">
        <v>2014</v>
      </c>
      <c r="L792" s="34">
        <v>7</v>
      </c>
      <c r="M792" s="34">
        <v>14</v>
      </c>
      <c r="N792" s="26"/>
    </row>
    <row r="793" spans="1:14">
      <c r="A793" s="26">
        <v>100201</v>
      </c>
      <c r="B793" s="27" t="s">
        <v>717</v>
      </c>
      <c r="C793" s="26" t="s">
        <v>47</v>
      </c>
      <c r="D793" s="27" t="s">
        <v>48</v>
      </c>
      <c r="G793" s="28">
        <v>0</v>
      </c>
      <c r="H793" s="26">
        <v>1861.86</v>
      </c>
      <c r="I793" s="26">
        <v>20</v>
      </c>
      <c r="J793" s="36">
        <v>1</v>
      </c>
      <c r="K793" s="34">
        <v>2014</v>
      </c>
      <c r="L793" s="34">
        <v>7</v>
      </c>
      <c r="M793" s="34">
        <v>14</v>
      </c>
      <c r="N793" s="26"/>
    </row>
    <row r="794" spans="1:14">
      <c r="A794" s="26">
        <v>112204</v>
      </c>
      <c r="B794" s="27" t="s">
        <v>718</v>
      </c>
      <c r="C794" s="26" t="s">
        <v>49</v>
      </c>
      <c r="D794" s="27" t="s">
        <v>255</v>
      </c>
      <c r="G794" s="28">
        <v>10500</v>
      </c>
      <c r="H794" s="26">
        <v>0</v>
      </c>
      <c r="I794" s="26">
        <v>21</v>
      </c>
      <c r="J794" s="36">
        <v>2</v>
      </c>
      <c r="K794" s="34">
        <v>2014</v>
      </c>
      <c r="L794" s="34">
        <v>7</v>
      </c>
      <c r="M794" s="34">
        <v>14</v>
      </c>
      <c r="N794" s="26"/>
    </row>
    <row r="795" spans="1:14">
      <c r="A795" s="26">
        <v>500102</v>
      </c>
      <c r="B795" s="27" t="s">
        <v>718</v>
      </c>
      <c r="C795" s="26" t="s">
        <v>157</v>
      </c>
      <c r="D795" s="27" t="s">
        <v>159</v>
      </c>
      <c r="G795" s="28">
        <v>0</v>
      </c>
      <c r="H795" s="26">
        <v>10500</v>
      </c>
      <c r="I795" s="26">
        <v>21</v>
      </c>
      <c r="J795" s="36">
        <v>2</v>
      </c>
      <c r="K795" s="34">
        <v>2014</v>
      </c>
      <c r="L795" s="34">
        <v>7</v>
      </c>
      <c r="M795" s="34">
        <v>14</v>
      </c>
      <c r="N795" s="26"/>
    </row>
    <row r="796" spans="1:14">
      <c r="A796" s="26">
        <v>560206</v>
      </c>
      <c r="B796" s="27" t="s">
        <v>719</v>
      </c>
      <c r="C796" s="26" t="s">
        <v>166</v>
      </c>
      <c r="D796" s="27" t="s">
        <v>172</v>
      </c>
      <c r="G796" s="28">
        <v>161</v>
      </c>
      <c r="H796" s="26">
        <v>0</v>
      </c>
      <c r="I796" s="26">
        <v>22</v>
      </c>
      <c r="J796" s="36">
        <v>6</v>
      </c>
      <c r="K796" s="34">
        <v>2014</v>
      </c>
      <c r="L796" s="34">
        <v>7</v>
      </c>
      <c r="M796" s="34">
        <v>14</v>
      </c>
      <c r="N796" s="26"/>
    </row>
    <row r="797" spans="1:14">
      <c r="A797" s="26">
        <v>560207</v>
      </c>
      <c r="B797" s="27" t="s">
        <v>720</v>
      </c>
      <c r="C797" s="26" t="s">
        <v>166</v>
      </c>
      <c r="D797" s="27" t="s">
        <v>173</v>
      </c>
      <c r="G797" s="28">
        <v>600</v>
      </c>
      <c r="H797" s="26">
        <v>0</v>
      </c>
      <c r="I797" s="26">
        <v>22</v>
      </c>
      <c r="J797" s="36">
        <v>6</v>
      </c>
      <c r="K797" s="34">
        <v>2014</v>
      </c>
      <c r="L797" s="34">
        <v>7</v>
      </c>
      <c r="M797" s="34">
        <v>14</v>
      </c>
      <c r="N797" s="26"/>
    </row>
    <row r="798" spans="1:14">
      <c r="A798" s="26">
        <v>560203</v>
      </c>
      <c r="B798" s="27" t="s">
        <v>618</v>
      </c>
      <c r="C798" s="26" t="s">
        <v>166</v>
      </c>
      <c r="D798" s="27" t="s">
        <v>169</v>
      </c>
      <c r="G798" s="28">
        <v>58</v>
      </c>
      <c r="H798" s="26">
        <v>0</v>
      </c>
      <c r="I798" s="26">
        <v>22</v>
      </c>
      <c r="J798" s="36">
        <v>6</v>
      </c>
      <c r="K798" s="34">
        <v>2014</v>
      </c>
      <c r="L798" s="34">
        <v>7</v>
      </c>
      <c r="M798" s="34">
        <v>14</v>
      </c>
      <c r="N798" s="26"/>
    </row>
    <row r="799" spans="1:14">
      <c r="A799" s="26">
        <v>100101</v>
      </c>
      <c r="B799" s="27" t="s">
        <v>721</v>
      </c>
      <c r="C799" s="26" t="s">
        <v>46</v>
      </c>
      <c r="D799" s="27" t="s">
        <v>199</v>
      </c>
      <c r="G799" s="28">
        <v>0</v>
      </c>
      <c r="H799" s="26">
        <v>819</v>
      </c>
      <c r="I799" s="26">
        <v>22</v>
      </c>
      <c r="J799" s="36">
        <v>6</v>
      </c>
      <c r="K799" s="34">
        <v>2014</v>
      </c>
      <c r="L799" s="34">
        <v>7</v>
      </c>
      <c r="M799" s="34">
        <v>14</v>
      </c>
      <c r="N799" s="26"/>
    </row>
    <row r="800" spans="1:14">
      <c r="A800" s="26">
        <v>112204</v>
      </c>
      <c r="B800" s="27" t="s">
        <v>722</v>
      </c>
      <c r="C800" s="26" t="s">
        <v>49</v>
      </c>
      <c r="D800" s="27" t="s">
        <v>255</v>
      </c>
      <c r="G800" s="28">
        <v>1920</v>
      </c>
      <c r="H800" s="26">
        <v>0</v>
      </c>
      <c r="I800" s="26">
        <v>23</v>
      </c>
      <c r="J800" s="36">
        <v>1</v>
      </c>
      <c r="K800" s="34">
        <v>2014</v>
      </c>
      <c r="L800" s="34">
        <v>7</v>
      </c>
      <c r="M800" s="34">
        <v>14</v>
      </c>
      <c r="N800" s="26"/>
    </row>
    <row r="801" spans="1:14">
      <c r="A801" s="26">
        <v>500102</v>
      </c>
      <c r="B801" s="27" t="s">
        <v>722</v>
      </c>
      <c r="C801" s="26" t="s">
        <v>157</v>
      </c>
      <c r="D801" s="27" t="s">
        <v>159</v>
      </c>
      <c r="G801" s="28">
        <v>0</v>
      </c>
      <c r="H801" s="26">
        <v>1920</v>
      </c>
      <c r="I801" s="26">
        <v>23</v>
      </c>
      <c r="J801" s="36">
        <v>1</v>
      </c>
      <c r="K801" s="34">
        <v>2014</v>
      </c>
      <c r="L801" s="34">
        <v>7</v>
      </c>
      <c r="M801" s="34">
        <v>14</v>
      </c>
      <c r="N801" s="26"/>
    </row>
    <row r="802" spans="1:14">
      <c r="A802" s="26">
        <v>100101</v>
      </c>
      <c r="B802" s="27" t="s">
        <v>723</v>
      </c>
      <c r="C802" s="26" t="s">
        <v>46</v>
      </c>
      <c r="D802" s="27" t="s">
        <v>199</v>
      </c>
      <c r="G802" s="28">
        <v>4000</v>
      </c>
      <c r="H802" s="26">
        <v>0</v>
      </c>
      <c r="I802" s="26">
        <v>24</v>
      </c>
      <c r="J802" s="36">
        <v>2</v>
      </c>
      <c r="K802" s="34">
        <v>2014</v>
      </c>
      <c r="L802" s="34">
        <v>7</v>
      </c>
      <c r="M802" s="34">
        <v>14</v>
      </c>
      <c r="N802" s="26"/>
    </row>
    <row r="803" spans="1:14">
      <c r="A803" s="26">
        <v>100201</v>
      </c>
      <c r="B803" s="27" t="s">
        <v>724</v>
      </c>
      <c r="C803" s="26" t="s">
        <v>47</v>
      </c>
      <c r="D803" s="27" t="s">
        <v>48</v>
      </c>
      <c r="G803" s="28">
        <v>3500</v>
      </c>
      <c r="H803" s="26">
        <v>0</v>
      </c>
      <c r="I803" s="26">
        <v>24</v>
      </c>
      <c r="J803" s="36">
        <v>2</v>
      </c>
      <c r="K803" s="34">
        <v>2014</v>
      </c>
      <c r="L803" s="34">
        <v>7</v>
      </c>
      <c r="M803" s="34">
        <v>14</v>
      </c>
      <c r="N803" s="26"/>
    </row>
    <row r="804" spans="1:14">
      <c r="A804" s="26">
        <v>112204</v>
      </c>
      <c r="B804" s="27" t="s">
        <v>723</v>
      </c>
      <c r="C804" s="26" t="s">
        <v>49</v>
      </c>
      <c r="D804" s="27" t="s">
        <v>255</v>
      </c>
      <c r="G804" s="28">
        <v>0</v>
      </c>
      <c r="H804" s="26">
        <v>4000</v>
      </c>
      <c r="I804" s="26">
        <v>24</v>
      </c>
      <c r="J804" s="36">
        <v>2</v>
      </c>
      <c r="K804" s="34">
        <v>2014</v>
      </c>
      <c r="L804" s="34">
        <v>7</v>
      </c>
      <c r="M804" s="34">
        <v>14</v>
      </c>
      <c r="N804" s="26"/>
    </row>
    <row r="805" spans="1:14">
      <c r="A805" s="26">
        <v>112204</v>
      </c>
      <c r="B805" s="27" t="s">
        <v>724</v>
      </c>
      <c r="C805" s="26" t="s">
        <v>49</v>
      </c>
      <c r="D805" s="27" t="s">
        <v>255</v>
      </c>
      <c r="G805" s="28">
        <v>0</v>
      </c>
      <c r="H805" s="26">
        <v>3500</v>
      </c>
      <c r="I805" s="26">
        <v>24</v>
      </c>
      <c r="J805" s="36">
        <v>2</v>
      </c>
      <c r="K805" s="34">
        <v>2014</v>
      </c>
      <c r="L805" s="34">
        <v>7</v>
      </c>
      <c r="M805" s="34">
        <v>14</v>
      </c>
      <c r="N805" s="26"/>
    </row>
    <row r="806" spans="1:14">
      <c r="A806" s="26">
        <v>112313</v>
      </c>
      <c r="B806" s="27" t="s">
        <v>725</v>
      </c>
      <c r="C806" s="26" t="s">
        <v>64</v>
      </c>
      <c r="D806" s="27" t="s">
        <v>72</v>
      </c>
      <c r="G806" s="28">
        <v>4000</v>
      </c>
      <c r="H806" s="26">
        <v>0</v>
      </c>
      <c r="I806" s="26">
        <v>25</v>
      </c>
      <c r="J806" s="36">
        <v>1</v>
      </c>
      <c r="K806" s="34">
        <v>2014</v>
      </c>
      <c r="L806" s="34">
        <v>7</v>
      </c>
      <c r="M806" s="34">
        <v>14</v>
      </c>
      <c r="N806" s="26"/>
    </row>
    <row r="807" spans="1:14">
      <c r="A807" s="26">
        <v>100101</v>
      </c>
      <c r="B807" s="27" t="s">
        <v>726</v>
      </c>
      <c r="C807" s="26" t="s">
        <v>46</v>
      </c>
      <c r="D807" s="27" t="s">
        <v>199</v>
      </c>
      <c r="G807" s="28">
        <v>0</v>
      </c>
      <c r="H807" s="26">
        <v>4000</v>
      </c>
      <c r="I807" s="26">
        <v>25</v>
      </c>
      <c r="J807" s="36">
        <v>1</v>
      </c>
      <c r="K807" s="34">
        <v>2014</v>
      </c>
      <c r="L807" s="34">
        <v>7</v>
      </c>
      <c r="M807" s="34">
        <v>14</v>
      </c>
      <c r="N807" s="26"/>
    </row>
    <row r="808" spans="1:14">
      <c r="A808" s="26">
        <v>560201</v>
      </c>
      <c r="B808" s="27" t="s">
        <v>727</v>
      </c>
      <c r="C808" s="26" t="s">
        <v>166</v>
      </c>
      <c r="D808" s="27" t="s">
        <v>167</v>
      </c>
      <c r="G808" s="28">
        <v>20420</v>
      </c>
      <c r="H808" s="26">
        <v>0</v>
      </c>
      <c r="I808" s="26">
        <v>26</v>
      </c>
      <c r="J808" s="36">
        <v>1</v>
      </c>
      <c r="K808" s="34">
        <v>2014</v>
      </c>
      <c r="L808" s="34">
        <v>7</v>
      </c>
      <c r="M808" s="34">
        <v>14</v>
      </c>
      <c r="N808" s="26"/>
    </row>
    <row r="809" spans="1:14">
      <c r="A809" s="26">
        <v>560210</v>
      </c>
      <c r="B809" s="27" t="s">
        <v>728</v>
      </c>
      <c r="C809" s="26" t="s">
        <v>166</v>
      </c>
      <c r="D809" s="27" t="s">
        <v>176</v>
      </c>
      <c r="G809" s="28">
        <v>2012.52</v>
      </c>
      <c r="H809" s="26">
        <v>0</v>
      </c>
      <c r="I809" s="26">
        <v>26</v>
      </c>
      <c r="J809" s="36">
        <v>1</v>
      </c>
      <c r="K809" s="34">
        <v>2014</v>
      </c>
      <c r="L809" s="34">
        <v>7</v>
      </c>
      <c r="M809" s="34">
        <v>14</v>
      </c>
      <c r="N809" s="26"/>
    </row>
    <row r="810" spans="1:14">
      <c r="A810" s="26">
        <v>221104</v>
      </c>
      <c r="B810" s="27" t="s">
        <v>728</v>
      </c>
      <c r="C810" s="26" t="s">
        <v>113</v>
      </c>
      <c r="D810" s="27" t="s">
        <v>117</v>
      </c>
      <c r="G810" s="28">
        <v>0</v>
      </c>
      <c r="H810" s="26">
        <v>2012.52</v>
      </c>
      <c r="I810" s="26">
        <v>26</v>
      </c>
      <c r="J810" s="36">
        <v>1</v>
      </c>
      <c r="K810" s="34">
        <v>2014</v>
      </c>
      <c r="L810" s="34">
        <v>7</v>
      </c>
      <c r="M810" s="34">
        <v>14</v>
      </c>
      <c r="N810" s="26"/>
    </row>
    <row r="811" spans="1:14">
      <c r="A811" s="26">
        <v>221101</v>
      </c>
      <c r="B811" s="27" t="s">
        <v>727</v>
      </c>
      <c r="C811" s="26" t="s">
        <v>113</v>
      </c>
      <c r="D811" s="27" t="s">
        <v>114</v>
      </c>
      <c r="G811" s="28">
        <v>0</v>
      </c>
      <c r="H811" s="26">
        <v>20420</v>
      </c>
      <c r="I811" s="26">
        <v>26</v>
      </c>
      <c r="J811" s="36">
        <v>1</v>
      </c>
      <c r="K811" s="34">
        <v>2014</v>
      </c>
      <c r="L811" s="34">
        <v>7</v>
      </c>
      <c r="M811" s="34">
        <v>14</v>
      </c>
      <c r="N811" s="26"/>
    </row>
    <row r="812" spans="1:14">
      <c r="A812" s="26">
        <v>560201</v>
      </c>
      <c r="B812" s="27" t="s">
        <v>729</v>
      </c>
      <c r="C812" s="26" t="s">
        <v>166</v>
      </c>
      <c r="D812" s="27" t="s">
        <v>167</v>
      </c>
      <c r="G812" s="28">
        <v>55000</v>
      </c>
      <c r="H812" s="26">
        <v>0</v>
      </c>
      <c r="I812" s="26">
        <v>27</v>
      </c>
      <c r="J812" s="36">
        <v>1</v>
      </c>
      <c r="K812" s="34">
        <v>2014</v>
      </c>
      <c r="L812" s="34">
        <v>7</v>
      </c>
      <c r="M812" s="34">
        <v>14</v>
      </c>
      <c r="N812" s="26"/>
    </row>
    <row r="813" spans="1:14">
      <c r="A813" s="26">
        <v>221101</v>
      </c>
      <c r="B813" s="27" t="s">
        <v>729</v>
      </c>
      <c r="C813" s="26" t="s">
        <v>113</v>
      </c>
      <c r="D813" s="27" t="s">
        <v>114</v>
      </c>
      <c r="G813" s="28">
        <v>0</v>
      </c>
      <c r="H813" s="26">
        <v>55000</v>
      </c>
      <c r="I813" s="26">
        <v>27</v>
      </c>
      <c r="J813" s="36">
        <v>1</v>
      </c>
      <c r="K813" s="34">
        <v>2014</v>
      </c>
      <c r="L813" s="34">
        <v>7</v>
      </c>
      <c r="M813" s="34">
        <v>14</v>
      </c>
      <c r="N813" s="26"/>
    </row>
    <row r="814" spans="1:14">
      <c r="A814" s="26">
        <v>560202</v>
      </c>
      <c r="B814" s="27" t="s">
        <v>730</v>
      </c>
      <c r="C814" s="26" t="s">
        <v>166</v>
      </c>
      <c r="D814" s="27" t="s">
        <v>168</v>
      </c>
      <c r="G814" s="28">
        <v>555</v>
      </c>
      <c r="H814" s="26">
        <v>0</v>
      </c>
      <c r="I814" s="26">
        <v>28</v>
      </c>
      <c r="J814" s="36">
        <v>1</v>
      </c>
      <c r="K814" s="34">
        <v>2014</v>
      </c>
      <c r="L814" s="34">
        <v>7</v>
      </c>
      <c r="M814" s="34">
        <v>14</v>
      </c>
      <c r="N814" s="26"/>
    </row>
    <row r="815" spans="1:14">
      <c r="A815" s="26">
        <v>160201</v>
      </c>
      <c r="B815" s="27" t="s">
        <v>730</v>
      </c>
      <c r="C815" s="26" t="s">
        <v>99</v>
      </c>
      <c r="D815" s="27" t="s">
        <v>92</v>
      </c>
      <c r="G815" s="28">
        <v>0</v>
      </c>
      <c r="H815" s="26">
        <v>89</v>
      </c>
      <c r="I815" s="26">
        <v>28</v>
      </c>
      <c r="J815" s="36">
        <v>1</v>
      </c>
      <c r="K815" s="34">
        <v>2014</v>
      </c>
      <c r="L815" s="34">
        <v>7</v>
      </c>
      <c r="M815" s="34">
        <v>14</v>
      </c>
      <c r="N815" s="26"/>
    </row>
    <row r="816" spans="1:14">
      <c r="A816" s="26">
        <v>160202</v>
      </c>
      <c r="B816" s="27" t="s">
        <v>730</v>
      </c>
      <c r="C816" s="26" t="s">
        <v>99</v>
      </c>
      <c r="D816" s="27" t="s">
        <v>93</v>
      </c>
      <c r="G816" s="28">
        <v>0</v>
      </c>
      <c r="H816" s="26">
        <v>122</v>
      </c>
      <c r="I816" s="26">
        <v>28</v>
      </c>
      <c r="J816" s="36">
        <v>1</v>
      </c>
      <c r="K816" s="34">
        <v>2014</v>
      </c>
      <c r="L816" s="34">
        <v>7</v>
      </c>
      <c r="M816" s="34">
        <v>14</v>
      </c>
      <c r="N816" s="26"/>
    </row>
    <row r="817" spans="1:14">
      <c r="A817" s="26">
        <v>160203</v>
      </c>
      <c r="B817" s="27" t="s">
        <v>730</v>
      </c>
      <c r="C817" s="26" t="s">
        <v>99</v>
      </c>
      <c r="D817" s="27" t="s">
        <v>94</v>
      </c>
      <c r="G817" s="28">
        <v>0</v>
      </c>
      <c r="H817" s="26">
        <v>107</v>
      </c>
      <c r="I817" s="26">
        <v>28</v>
      </c>
      <c r="J817" s="36">
        <v>1</v>
      </c>
      <c r="K817" s="34">
        <v>2014</v>
      </c>
      <c r="L817" s="34">
        <v>7</v>
      </c>
      <c r="M817" s="34">
        <v>14</v>
      </c>
      <c r="N817" s="26"/>
    </row>
    <row r="818" spans="1:14">
      <c r="A818" s="26">
        <v>160204</v>
      </c>
      <c r="B818" s="27" t="s">
        <v>730</v>
      </c>
      <c r="C818" s="26" t="s">
        <v>99</v>
      </c>
      <c r="D818" s="27" t="s">
        <v>95</v>
      </c>
      <c r="G818" s="28">
        <v>0</v>
      </c>
      <c r="H818" s="26">
        <v>58</v>
      </c>
      <c r="I818" s="26">
        <v>28</v>
      </c>
      <c r="J818" s="36">
        <v>1</v>
      </c>
      <c r="K818" s="34">
        <v>2014</v>
      </c>
      <c r="L818" s="34">
        <v>7</v>
      </c>
      <c r="M818" s="34">
        <v>14</v>
      </c>
      <c r="N818" s="26"/>
    </row>
    <row r="819" spans="1:14">
      <c r="A819" s="26">
        <v>160205</v>
      </c>
      <c r="B819" s="27" t="s">
        <v>730</v>
      </c>
      <c r="C819" s="26" t="s">
        <v>99</v>
      </c>
      <c r="D819" s="27" t="s">
        <v>96</v>
      </c>
      <c r="G819" s="28">
        <v>0</v>
      </c>
      <c r="H819" s="26">
        <v>60</v>
      </c>
      <c r="I819" s="26">
        <v>28</v>
      </c>
      <c r="J819" s="36">
        <v>1</v>
      </c>
      <c r="K819" s="34">
        <v>2014</v>
      </c>
      <c r="L819" s="34">
        <v>7</v>
      </c>
      <c r="M819" s="34">
        <v>14</v>
      </c>
      <c r="N819" s="26"/>
    </row>
    <row r="820" spans="1:14">
      <c r="A820" s="26">
        <v>160206</v>
      </c>
      <c r="B820" s="27" t="s">
        <v>730</v>
      </c>
      <c r="C820" s="26" t="s">
        <v>99</v>
      </c>
      <c r="D820" s="27" t="s">
        <v>97</v>
      </c>
      <c r="G820" s="28">
        <v>0</v>
      </c>
      <c r="H820" s="26">
        <v>73</v>
      </c>
      <c r="I820" s="26">
        <v>28</v>
      </c>
      <c r="J820" s="36">
        <v>1</v>
      </c>
      <c r="K820" s="34">
        <v>2014</v>
      </c>
      <c r="L820" s="34">
        <v>7</v>
      </c>
      <c r="M820" s="34">
        <v>14</v>
      </c>
      <c r="N820" s="26"/>
    </row>
    <row r="821" spans="1:14">
      <c r="A821" s="26">
        <v>160207</v>
      </c>
      <c r="B821" s="27" t="s">
        <v>730</v>
      </c>
      <c r="C821" s="26" t="s">
        <v>99</v>
      </c>
      <c r="D821" s="27" t="s">
        <v>98</v>
      </c>
      <c r="G821" s="28">
        <v>0</v>
      </c>
      <c r="H821" s="26">
        <v>46</v>
      </c>
      <c r="I821" s="26">
        <v>28</v>
      </c>
      <c r="J821" s="36">
        <v>1</v>
      </c>
      <c r="K821" s="34">
        <v>2014</v>
      </c>
      <c r="L821" s="34">
        <v>7</v>
      </c>
      <c r="M821" s="34">
        <v>14</v>
      </c>
      <c r="N821" s="26"/>
    </row>
    <row r="822" spans="1:14">
      <c r="A822" s="26">
        <v>540304</v>
      </c>
      <c r="B822" s="27" t="s">
        <v>731</v>
      </c>
      <c r="C822" s="26" t="s">
        <v>165</v>
      </c>
      <c r="D822" s="27" t="s">
        <v>128</v>
      </c>
      <c r="G822" s="28">
        <v>2233.5</v>
      </c>
      <c r="H822" s="26">
        <v>0</v>
      </c>
      <c r="I822" s="26">
        <v>29</v>
      </c>
      <c r="J822" s="36">
        <v>1</v>
      </c>
      <c r="K822" s="34">
        <v>2014</v>
      </c>
      <c r="L822" s="34">
        <v>7</v>
      </c>
      <c r="M822" s="34">
        <v>30</v>
      </c>
      <c r="N822" s="26"/>
    </row>
    <row r="823" spans="1:14">
      <c r="A823" s="26">
        <v>540301</v>
      </c>
      <c r="B823" s="27" t="s">
        <v>731</v>
      </c>
      <c r="C823" s="26" t="s">
        <v>165</v>
      </c>
      <c r="D823" s="27" t="s">
        <v>129</v>
      </c>
      <c r="G823" s="28">
        <v>156.35</v>
      </c>
      <c r="H823" s="26">
        <v>0</v>
      </c>
      <c r="I823" s="26">
        <v>29</v>
      </c>
      <c r="J823" s="36">
        <v>1</v>
      </c>
      <c r="K823" s="34">
        <v>2014</v>
      </c>
      <c r="L823" s="34">
        <v>7</v>
      </c>
      <c r="M823" s="34">
        <v>30</v>
      </c>
      <c r="N823" s="26"/>
    </row>
    <row r="824" spans="1:14">
      <c r="A824" s="26">
        <v>540302</v>
      </c>
      <c r="B824" s="27" t="s">
        <v>731</v>
      </c>
      <c r="C824" s="26" t="s">
        <v>165</v>
      </c>
      <c r="D824" s="27" t="s">
        <v>130</v>
      </c>
      <c r="G824" s="28">
        <v>111.68</v>
      </c>
      <c r="H824" s="26">
        <v>0</v>
      </c>
      <c r="I824" s="26">
        <v>29</v>
      </c>
      <c r="J824" s="36">
        <v>1</v>
      </c>
      <c r="K824" s="34">
        <v>2014</v>
      </c>
      <c r="L824" s="34">
        <v>7</v>
      </c>
      <c r="M824" s="34">
        <v>30</v>
      </c>
      <c r="N824" s="26"/>
    </row>
    <row r="825" spans="1:14">
      <c r="A825" s="26">
        <v>540303</v>
      </c>
      <c r="B825" s="27" t="s">
        <v>731</v>
      </c>
      <c r="C825" s="26" t="s">
        <v>165</v>
      </c>
      <c r="D825" s="27" t="s">
        <v>131</v>
      </c>
      <c r="G825" s="28">
        <v>13.6</v>
      </c>
      <c r="H825" s="26">
        <v>0</v>
      </c>
      <c r="I825" s="26">
        <v>29</v>
      </c>
      <c r="J825" s="36">
        <v>1</v>
      </c>
      <c r="K825" s="34">
        <v>2014</v>
      </c>
      <c r="L825" s="34">
        <v>7</v>
      </c>
      <c r="M825" s="34">
        <v>30</v>
      </c>
      <c r="N825" s="26"/>
    </row>
    <row r="826" spans="1:14">
      <c r="A826" s="26">
        <v>560206</v>
      </c>
      <c r="B826" s="27" t="s">
        <v>731</v>
      </c>
      <c r="C826" s="26" t="s">
        <v>166</v>
      </c>
      <c r="D826" s="27" t="s">
        <v>172</v>
      </c>
      <c r="G826" s="28">
        <v>45.41</v>
      </c>
      <c r="H826" s="26">
        <v>0</v>
      </c>
      <c r="I826" s="26">
        <v>29</v>
      </c>
      <c r="J826" s="36">
        <v>1</v>
      </c>
      <c r="K826" s="34">
        <v>2014</v>
      </c>
      <c r="L826" s="34">
        <v>7</v>
      </c>
      <c r="M826" s="34">
        <v>30</v>
      </c>
      <c r="N826" s="26"/>
    </row>
    <row r="827" spans="1:14">
      <c r="A827" s="26">
        <v>222102</v>
      </c>
      <c r="B827" s="27" t="s">
        <v>731</v>
      </c>
      <c r="C827" s="26" t="s">
        <v>126</v>
      </c>
      <c r="D827" s="27" t="s">
        <v>128</v>
      </c>
      <c r="G827" s="28">
        <v>0</v>
      </c>
      <c r="H827" s="26">
        <v>2233.5</v>
      </c>
      <c r="I827" s="26">
        <v>29</v>
      </c>
      <c r="J827" s="36">
        <v>1</v>
      </c>
      <c r="K827" s="34">
        <v>2014</v>
      </c>
      <c r="L827" s="34">
        <v>7</v>
      </c>
      <c r="M827" s="34">
        <v>30</v>
      </c>
      <c r="N827" s="26"/>
    </row>
    <row r="828" spans="1:14">
      <c r="A828" s="26">
        <v>222103</v>
      </c>
      <c r="B828" s="27" t="s">
        <v>731</v>
      </c>
      <c r="C828" s="26" t="s">
        <v>126</v>
      </c>
      <c r="D828" s="27" t="s">
        <v>129</v>
      </c>
      <c r="G828" s="28">
        <v>0</v>
      </c>
      <c r="H828" s="26">
        <v>156.35</v>
      </c>
      <c r="I828" s="26">
        <v>29</v>
      </c>
      <c r="J828" s="36">
        <v>1</v>
      </c>
      <c r="K828" s="34">
        <v>2014</v>
      </c>
      <c r="L828" s="34">
        <v>7</v>
      </c>
      <c r="M828" s="34">
        <v>30</v>
      </c>
      <c r="N828" s="26"/>
    </row>
    <row r="829" spans="1:14">
      <c r="A829" s="26">
        <v>222104</v>
      </c>
      <c r="B829" s="27" t="s">
        <v>731</v>
      </c>
      <c r="C829" s="26" t="s">
        <v>126</v>
      </c>
      <c r="D829" s="27" t="s">
        <v>130</v>
      </c>
      <c r="G829" s="28">
        <v>0</v>
      </c>
      <c r="H829" s="26">
        <v>111.68</v>
      </c>
      <c r="I829" s="26">
        <v>29</v>
      </c>
      <c r="J829" s="36">
        <v>1</v>
      </c>
      <c r="K829" s="34">
        <v>2014</v>
      </c>
      <c r="L829" s="34">
        <v>7</v>
      </c>
      <c r="M829" s="34">
        <v>30</v>
      </c>
      <c r="N829" s="26"/>
    </row>
    <row r="830" spans="1:14">
      <c r="A830" s="26">
        <v>222105</v>
      </c>
      <c r="B830" s="27" t="s">
        <v>731</v>
      </c>
      <c r="C830" s="26" t="s">
        <v>126</v>
      </c>
      <c r="D830" s="27" t="s">
        <v>131</v>
      </c>
      <c r="G830" s="28">
        <v>0</v>
      </c>
      <c r="H830" s="26">
        <v>13.6</v>
      </c>
      <c r="I830" s="26">
        <v>29</v>
      </c>
      <c r="J830" s="36">
        <v>1</v>
      </c>
      <c r="K830" s="34">
        <v>2014</v>
      </c>
      <c r="L830" s="34">
        <v>7</v>
      </c>
      <c r="M830" s="34">
        <v>30</v>
      </c>
      <c r="N830" s="26"/>
    </row>
    <row r="831" spans="1:14">
      <c r="A831" s="26">
        <v>224104</v>
      </c>
      <c r="B831" s="27" t="s">
        <v>731</v>
      </c>
      <c r="C831" s="26" t="s">
        <v>140</v>
      </c>
      <c r="D831" s="27" t="s">
        <v>142</v>
      </c>
      <c r="G831" s="28">
        <v>0</v>
      </c>
      <c r="H831" s="26">
        <v>45.41</v>
      </c>
      <c r="I831" s="26">
        <v>29</v>
      </c>
      <c r="J831" s="36">
        <v>1</v>
      </c>
      <c r="K831" s="34">
        <v>2014</v>
      </c>
      <c r="L831" s="34">
        <v>7</v>
      </c>
      <c r="M831" s="34">
        <v>30</v>
      </c>
      <c r="N831" s="26"/>
    </row>
    <row r="832" spans="1:14">
      <c r="A832" s="26">
        <v>112204</v>
      </c>
      <c r="B832" s="27" t="s">
        <v>732</v>
      </c>
      <c r="C832" s="26" t="s">
        <v>49</v>
      </c>
      <c r="D832" s="27" t="s">
        <v>255</v>
      </c>
      <c r="G832" s="28">
        <v>0</v>
      </c>
      <c r="H832" s="26">
        <v>1100</v>
      </c>
      <c r="I832" s="26">
        <v>30</v>
      </c>
      <c r="J832" s="36">
        <v>1</v>
      </c>
      <c r="K832" s="34">
        <v>2014</v>
      </c>
      <c r="L832" s="34">
        <v>7</v>
      </c>
      <c r="M832" s="34">
        <v>31</v>
      </c>
      <c r="N832" s="26"/>
    </row>
    <row r="833" spans="1:14">
      <c r="A833" s="26">
        <v>100201</v>
      </c>
      <c r="B833" s="27" t="s">
        <v>732</v>
      </c>
      <c r="C833" s="26" t="s">
        <v>47</v>
      </c>
      <c r="D833" s="27" t="s">
        <v>48</v>
      </c>
      <c r="G833" s="28">
        <v>1100</v>
      </c>
      <c r="H833" s="26">
        <v>0</v>
      </c>
      <c r="I833" s="26">
        <v>30</v>
      </c>
      <c r="J833" s="36">
        <v>1</v>
      </c>
      <c r="K833" s="34">
        <v>2014</v>
      </c>
      <c r="L833" s="34">
        <v>7</v>
      </c>
      <c r="M833" s="34">
        <v>31</v>
      </c>
      <c r="N833" s="26"/>
    </row>
    <row r="834" spans="1:14">
      <c r="A834" s="26">
        <v>122105</v>
      </c>
      <c r="B834" s="27" t="s">
        <v>733</v>
      </c>
      <c r="C834" s="26" t="s">
        <v>78</v>
      </c>
      <c r="D834" s="27" t="s">
        <v>83</v>
      </c>
      <c r="G834" s="28">
        <v>0</v>
      </c>
      <c r="H834" s="26">
        <v>70</v>
      </c>
      <c r="I834" s="26">
        <v>31</v>
      </c>
      <c r="J834" s="36">
        <v>0</v>
      </c>
      <c r="K834" s="34">
        <v>2014</v>
      </c>
      <c r="L834" s="34">
        <v>7</v>
      </c>
      <c r="M834" s="34">
        <v>31</v>
      </c>
      <c r="N834" s="26"/>
    </row>
    <row r="835" spans="1:14">
      <c r="A835" s="26">
        <v>122105</v>
      </c>
      <c r="B835" s="27" t="s">
        <v>734</v>
      </c>
      <c r="C835" s="26" t="s">
        <v>78</v>
      </c>
      <c r="D835" s="27" t="s">
        <v>83</v>
      </c>
      <c r="G835" s="28">
        <v>0</v>
      </c>
      <c r="H835" s="26">
        <v>70</v>
      </c>
      <c r="I835" s="26">
        <v>31</v>
      </c>
      <c r="J835" s="36">
        <v>0</v>
      </c>
      <c r="K835" s="34">
        <v>2014</v>
      </c>
      <c r="L835" s="34">
        <v>7</v>
      </c>
      <c r="M835" s="34">
        <v>31</v>
      </c>
      <c r="N835" s="26"/>
    </row>
    <row r="836" spans="1:14">
      <c r="A836" s="26">
        <v>540101</v>
      </c>
      <c r="B836" s="27" t="s">
        <v>735</v>
      </c>
      <c r="C836" s="26" t="s">
        <v>161</v>
      </c>
      <c r="D836" s="27" t="s">
        <v>162</v>
      </c>
      <c r="G836" s="28">
        <v>140</v>
      </c>
      <c r="H836" s="26">
        <v>0</v>
      </c>
      <c r="I836" s="26">
        <v>31</v>
      </c>
      <c r="J836" s="36">
        <v>0</v>
      </c>
      <c r="K836" s="34">
        <v>2014</v>
      </c>
      <c r="L836" s="34">
        <v>7</v>
      </c>
      <c r="M836" s="34">
        <v>31</v>
      </c>
      <c r="N836" s="26"/>
    </row>
    <row r="837" spans="1:14">
      <c r="A837" s="26">
        <v>560203</v>
      </c>
      <c r="B837" s="27" t="s">
        <v>243</v>
      </c>
      <c r="C837" s="26" t="s">
        <v>166</v>
      </c>
      <c r="D837" s="27" t="s">
        <v>169</v>
      </c>
      <c r="G837" s="28">
        <v>365</v>
      </c>
      <c r="H837" s="26">
        <v>0</v>
      </c>
      <c r="I837" s="26">
        <v>1</v>
      </c>
      <c r="J837" s="36">
        <v>11</v>
      </c>
      <c r="K837" s="34">
        <v>2014</v>
      </c>
      <c r="L837" s="34">
        <v>8</v>
      </c>
      <c r="M837" s="34">
        <v>30</v>
      </c>
      <c r="N837" s="26"/>
    </row>
    <row r="838" spans="1:14">
      <c r="A838" s="26">
        <v>560207</v>
      </c>
      <c r="B838" s="27" t="s">
        <v>427</v>
      </c>
      <c r="C838" s="26" t="s">
        <v>166</v>
      </c>
      <c r="D838" s="27" t="s">
        <v>173</v>
      </c>
      <c r="G838" s="28">
        <v>150</v>
      </c>
      <c r="H838" s="26">
        <v>0</v>
      </c>
      <c r="I838" s="26">
        <v>1</v>
      </c>
      <c r="J838" s="36">
        <v>11</v>
      </c>
      <c r="K838" s="34">
        <v>2014</v>
      </c>
      <c r="L838" s="34">
        <v>8</v>
      </c>
      <c r="M838" s="34">
        <v>30</v>
      </c>
      <c r="N838" s="26"/>
    </row>
    <row r="839" spans="1:14">
      <c r="A839" s="26">
        <v>560204</v>
      </c>
      <c r="B839" s="27" t="s">
        <v>736</v>
      </c>
      <c r="C839" s="26" t="s">
        <v>166</v>
      </c>
      <c r="D839" s="27" t="s">
        <v>170</v>
      </c>
      <c r="G839" s="28">
        <v>379</v>
      </c>
      <c r="H839" s="26">
        <v>0</v>
      </c>
      <c r="I839" s="26">
        <v>1</v>
      </c>
      <c r="J839" s="36">
        <v>11</v>
      </c>
      <c r="K839" s="34">
        <v>2014</v>
      </c>
      <c r="L839" s="34">
        <v>8</v>
      </c>
      <c r="M839" s="34">
        <v>30</v>
      </c>
      <c r="N839" s="26"/>
    </row>
    <row r="840" spans="1:14">
      <c r="A840" s="26">
        <v>560206</v>
      </c>
      <c r="B840" s="27" t="s">
        <v>174</v>
      </c>
      <c r="C840" s="26" t="s">
        <v>166</v>
      </c>
      <c r="D840" s="27" t="s">
        <v>172</v>
      </c>
      <c r="G840" s="28">
        <v>355.2</v>
      </c>
      <c r="H840" s="26">
        <v>0</v>
      </c>
      <c r="I840" s="26">
        <v>1</v>
      </c>
      <c r="J840" s="36">
        <v>11</v>
      </c>
      <c r="K840" s="34">
        <v>2014</v>
      </c>
      <c r="L840" s="34">
        <v>8</v>
      </c>
      <c r="M840" s="34">
        <v>30</v>
      </c>
      <c r="N840" s="26"/>
    </row>
    <row r="841" spans="1:14">
      <c r="A841" s="26">
        <v>100101</v>
      </c>
      <c r="B841" s="27" t="s">
        <v>690</v>
      </c>
      <c r="C841" s="26" t="s">
        <v>46</v>
      </c>
      <c r="D841" s="27" t="s">
        <v>199</v>
      </c>
      <c r="G841" s="28">
        <v>0</v>
      </c>
      <c r="H841" s="26">
        <v>200</v>
      </c>
      <c r="I841" s="26">
        <v>1</v>
      </c>
      <c r="J841" s="36">
        <v>11</v>
      </c>
      <c r="K841" s="34">
        <v>2014</v>
      </c>
      <c r="L841" s="34">
        <v>8</v>
      </c>
      <c r="M841" s="34">
        <v>30</v>
      </c>
      <c r="N841" s="26"/>
    </row>
    <row r="842" spans="1:14">
      <c r="A842" s="26">
        <v>100201</v>
      </c>
      <c r="B842" s="27" t="s">
        <v>737</v>
      </c>
      <c r="C842" s="26" t="s">
        <v>47</v>
      </c>
      <c r="D842" s="27" t="s">
        <v>48</v>
      </c>
      <c r="G842" s="28">
        <v>0</v>
      </c>
      <c r="H842" s="26">
        <v>1049.2</v>
      </c>
      <c r="I842" s="26">
        <v>1</v>
      </c>
      <c r="J842" s="36">
        <v>11</v>
      </c>
      <c r="K842" s="34">
        <v>2014</v>
      </c>
      <c r="L842" s="34">
        <v>8</v>
      </c>
      <c r="M842" s="34">
        <v>30</v>
      </c>
      <c r="N842" s="26"/>
    </row>
    <row r="843" spans="1:14">
      <c r="A843" s="26">
        <v>112204</v>
      </c>
      <c r="B843" s="27" t="s">
        <v>738</v>
      </c>
      <c r="C843" s="26" t="s">
        <v>49</v>
      </c>
      <c r="D843" s="27" t="s">
        <v>255</v>
      </c>
      <c r="G843" s="28">
        <v>0</v>
      </c>
      <c r="H843" s="26">
        <v>3000</v>
      </c>
      <c r="I843" s="26">
        <v>2</v>
      </c>
      <c r="J843" s="36">
        <v>1</v>
      </c>
      <c r="K843" s="34">
        <v>2014</v>
      </c>
      <c r="L843" s="34">
        <v>8</v>
      </c>
      <c r="M843" s="34">
        <v>30</v>
      </c>
      <c r="N843" s="26"/>
    </row>
    <row r="844" spans="1:14">
      <c r="A844" s="26">
        <v>100201</v>
      </c>
      <c r="B844" s="27" t="s">
        <v>739</v>
      </c>
      <c r="C844" s="26" t="s">
        <v>47</v>
      </c>
      <c r="D844" s="27" t="s">
        <v>48</v>
      </c>
      <c r="G844" s="28">
        <v>3000</v>
      </c>
      <c r="H844" s="26">
        <v>0</v>
      </c>
      <c r="I844" s="26">
        <v>2</v>
      </c>
      <c r="J844" s="36">
        <v>1</v>
      </c>
      <c r="K844" s="34">
        <v>2014</v>
      </c>
      <c r="L844" s="34">
        <v>8</v>
      </c>
      <c r="M844" s="34">
        <v>30</v>
      </c>
      <c r="N844" s="26"/>
    </row>
    <row r="845" spans="1:14">
      <c r="A845" s="26">
        <v>112205</v>
      </c>
      <c r="B845" s="27" t="s">
        <v>740</v>
      </c>
      <c r="C845" s="26" t="s">
        <v>49</v>
      </c>
      <c r="D845" s="27" t="s">
        <v>366</v>
      </c>
      <c r="G845" s="28">
        <v>0</v>
      </c>
      <c r="H845" s="26">
        <v>870</v>
      </c>
      <c r="I845" s="26">
        <v>3</v>
      </c>
      <c r="J845" s="36">
        <v>2</v>
      </c>
      <c r="K845" s="34">
        <v>2014</v>
      </c>
      <c r="L845" s="34">
        <v>8</v>
      </c>
      <c r="M845" s="34">
        <v>30</v>
      </c>
      <c r="N845" s="26"/>
    </row>
    <row r="846" spans="1:14">
      <c r="A846" s="26">
        <v>100101</v>
      </c>
      <c r="B846" s="27" t="s">
        <v>740</v>
      </c>
      <c r="C846" s="26" t="s">
        <v>46</v>
      </c>
      <c r="D846" s="27" t="s">
        <v>199</v>
      </c>
      <c r="G846" s="28">
        <v>700</v>
      </c>
      <c r="H846" s="26">
        <v>0</v>
      </c>
      <c r="I846" s="26">
        <v>3</v>
      </c>
      <c r="J846" s="36">
        <v>2</v>
      </c>
      <c r="K846" s="34">
        <v>2014</v>
      </c>
      <c r="L846" s="34">
        <v>8</v>
      </c>
      <c r="M846" s="34">
        <v>30</v>
      </c>
      <c r="N846" s="26"/>
    </row>
    <row r="847" spans="1:14">
      <c r="A847" s="26">
        <v>560204</v>
      </c>
      <c r="B847" s="27" t="s">
        <v>741</v>
      </c>
      <c r="C847" s="26" t="s">
        <v>166</v>
      </c>
      <c r="D847" s="27" t="s">
        <v>170</v>
      </c>
      <c r="G847" s="28">
        <v>170</v>
      </c>
      <c r="H847" s="26">
        <v>0</v>
      </c>
      <c r="I847" s="26">
        <v>3</v>
      </c>
      <c r="J847" s="36">
        <v>2</v>
      </c>
      <c r="K847" s="34">
        <v>2014</v>
      </c>
      <c r="L847" s="34">
        <v>8</v>
      </c>
      <c r="M847" s="34">
        <v>30</v>
      </c>
      <c r="N847" s="26"/>
    </row>
    <row r="848" spans="1:14">
      <c r="A848" s="26">
        <v>100201</v>
      </c>
      <c r="B848" s="27" t="s">
        <v>742</v>
      </c>
      <c r="C848" s="26" t="s">
        <v>47</v>
      </c>
      <c r="D848" s="27" t="s">
        <v>48</v>
      </c>
      <c r="G848" s="28">
        <v>0</v>
      </c>
      <c r="H848" s="26">
        <v>20000</v>
      </c>
      <c r="I848" s="26">
        <v>4</v>
      </c>
      <c r="J848" s="36">
        <v>1</v>
      </c>
      <c r="K848" s="34">
        <v>2014</v>
      </c>
      <c r="L848" s="34">
        <v>8</v>
      </c>
      <c r="M848" s="34">
        <v>30</v>
      </c>
      <c r="N848" s="26"/>
    </row>
    <row r="849" spans="1:14">
      <c r="A849" s="26">
        <v>100101</v>
      </c>
      <c r="B849" s="27" t="s">
        <v>742</v>
      </c>
      <c r="C849" s="26" t="s">
        <v>46</v>
      </c>
      <c r="D849" s="27" t="s">
        <v>199</v>
      </c>
      <c r="G849" s="28">
        <v>20000</v>
      </c>
      <c r="H849" s="26">
        <v>0</v>
      </c>
      <c r="I849" s="26">
        <v>4</v>
      </c>
      <c r="J849" s="36">
        <v>1</v>
      </c>
      <c r="K849" s="34">
        <v>2014</v>
      </c>
      <c r="L849" s="34">
        <v>8</v>
      </c>
      <c r="M849" s="34">
        <v>30</v>
      </c>
      <c r="N849" s="26"/>
    </row>
    <row r="850" spans="1:14">
      <c r="A850" s="26">
        <v>560207</v>
      </c>
      <c r="B850" s="27" t="s">
        <v>720</v>
      </c>
      <c r="C850" s="26" t="s">
        <v>166</v>
      </c>
      <c r="D850" s="27" t="s">
        <v>173</v>
      </c>
      <c r="G850" s="28">
        <v>2000</v>
      </c>
      <c r="H850" s="26">
        <v>0</v>
      </c>
      <c r="I850" s="26">
        <v>5</v>
      </c>
      <c r="J850" s="36">
        <v>1</v>
      </c>
      <c r="K850" s="34">
        <v>2014</v>
      </c>
      <c r="L850" s="34">
        <v>8</v>
      </c>
      <c r="M850" s="34">
        <v>30</v>
      </c>
      <c r="N850" s="26"/>
    </row>
    <row r="851" spans="1:14">
      <c r="A851" s="26">
        <v>100101</v>
      </c>
      <c r="B851" s="27" t="s">
        <v>720</v>
      </c>
      <c r="C851" s="26" t="s">
        <v>46</v>
      </c>
      <c r="D851" s="27" t="s">
        <v>199</v>
      </c>
      <c r="G851" s="28">
        <v>0</v>
      </c>
      <c r="H851" s="26">
        <v>2000</v>
      </c>
      <c r="I851" s="26">
        <v>5</v>
      </c>
      <c r="J851" s="36">
        <v>1</v>
      </c>
      <c r="K851" s="34">
        <v>2014</v>
      </c>
      <c r="L851" s="34">
        <v>8</v>
      </c>
      <c r="M851" s="34">
        <v>30</v>
      </c>
      <c r="N851" s="26"/>
    </row>
    <row r="852" spans="1:14">
      <c r="A852" s="26">
        <v>224101</v>
      </c>
      <c r="B852" s="27" t="s">
        <v>743</v>
      </c>
      <c r="C852" s="26" t="s">
        <v>140</v>
      </c>
      <c r="D852" s="27" t="s">
        <v>12</v>
      </c>
      <c r="G852" s="28">
        <v>7220</v>
      </c>
      <c r="H852" s="26">
        <v>0</v>
      </c>
      <c r="I852" s="26">
        <v>6</v>
      </c>
      <c r="J852" s="36">
        <v>1</v>
      </c>
      <c r="K852" s="34">
        <v>2014</v>
      </c>
      <c r="L852" s="34">
        <v>8</v>
      </c>
      <c r="M852" s="34">
        <v>30</v>
      </c>
      <c r="N852" s="26"/>
    </row>
    <row r="853" spans="1:14">
      <c r="A853" s="26">
        <v>100201</v>
      </c>
      <c r="B853" s="27" t="s">
        <v>743</v>
      </c>
      <c r="C853" s="26" t="s">
        <v>47</v>
      </c>
      <c r="D853" s="27" t="s">
        <v>48</v>
      </c>
      <c r="G853" s="28">
        <v>0</v>
      </c>
      <c r="H853" s="26">
        <v>7220</v>
      </c>
      <c r="I853" s="26">
        <v>6</v>
      </c>
      <c r="J853" s="36">
        <v>1</v>
      </c>
      <c r="K853" s="34">
        <v>2014</v>
      </c>
      <c r="L853" s="34">
        <v>8</v>
      </c>
      <c r="M853" s="34">
        <v>30</v>
      </c>
      <c r="N853" s="26"/>
    </row>
    <row r="854" spans="1:14">
      <c r="A854" s="26">
        <v>100201</v>
      </c>
      <c r="B854" s="27" t="s">
        <v>744</v>
      </c>
      <c r="C854" s="26" t="s">
        <v>47</v>
      </c>
      <c r="D854" s="27" t="s">
        <v>48</v>
      </c>
      <c r="G854" s="28">
        <v>0</v>
      </c>
      <c r="H854" s="26">
        <v>114400</v>
      </c>
      <c r="I854" s="26">
        <v>7</v>
      </c>
      <c r="J854" s="36">
        <v>1</v>
      </c>
      <c r="K854" s="34">
        <v>2014</v>
      </c>
      <c r="L854" s="34">
        <v>8</v>
      </c>
      <c r="M854" s="34">
        <v>30</v>
      </c>
      <c r="N854" s="26"/>
    </row>
    <row r="855" spans="1:14">
      <c r="A855" s="26">
        <v>112303</v>
      </c>
      <c r="B855" s="27" t="s">
        <v>744</v>
      </c>
      <c r="C855" s="26" t="s">
        <v>64</v>
      </c>
      <c r="D855" s="27" t="s">
        <v>67</v>
      </c>
      <c r="G855" s="28">
        <v>114400</v>
      </c>
      <c r="H855" s="26">
        <v>0</v>
      </c>
      <c r="I855" s="26">
        <v>7</v>
      </c>
      <c r="J855" s="36">
        <v>1</v>
      </c>
      <c r="K855" s="34">
        <v>2014</v>
      </c>
      <c r="L855" s="34">
        <v>8</v>
      </c>
      <c r="M855" s="34">
        <v>30</v>
      </c>
      <c r="N855" s="26"/>
    </row>
    <row r="856" spans="1:14">
      <c r="A856" s="26">
        <v>112204</v>
      </c>
      <c r="B856" s="27" t="s">
        <v>745</v>
      </c>
      <c r="C856" s="26" t="s">
        <v>49</v>
      </c>
      <c r="D856" s="27" t="s">
        <v>255</v>
      </c>
      <c r="G856" s="28">
        <v>0</v>
      </c>
      <c r="H856" s="26">
        <v>23500</v>
      </c>
      <c r="I856" s="26">
        <v>8</v>
      </c>
      <c r="J856" s="36">
        <v>1</v>
      </c>
      <c r="K856" s="34">
        <v>2014</v>
      </c>
      <c r="L856" s="34">
        <v>8</v>
      </c>
      <c r="M856" s="34">
        <v>30</v>
      </c>
      <c r="N856" s="26"/>
    </row>
    <row r="857" spans="1:14">
      <c r="A857" s="26">
        <v>100201</v>
      </c>
      <c r="B857" s="27" t="s">
        <v>746</v>
      </c>
      <c r="C857" s="26" t="s">
        <v>47</v>
      </c>
      <c r="D857" s="27" t="s">
        <v>48</v>
      </c>
      <c r="G857" s="28">
        <v>23500</v>
      </c>
      <c r="H857" s="26">
        <v>0</v>
      </c>
      <c r="I857" s="26">
        <v>8</v>
      </c>
      <c r="J857" s="36">
        <v>1</v>
      </c>
      <c r="K857" s="34">
        <v>2014</v>
      </c>
      <c r="L857" s="34">
        <v>8</v>
      </c>
      <c r="M857" s="34">
        <v>30</v>
      </c>
      <c r="N857" s="26"/>
    </row>
    <row r="858" spans="1:14">
      <c r="A858" s="26">
        <v>560301</v>
      </c>
      <c r="B858" s="27" t="s">
        <v>178</v>
      </c>
      <c r="C858" s="26" t="s">
        <v>177</v>
      </c>
      <c r="D858" s="27" t="s">
        <v>199</v>
      </c>
      <c r="G858" s="28">
        <v>16</v>
      </c>
      <c r="H858" s="26">
        <v>0</v>
      </c>
      <c r="I858" s="26">
        <v>9</v>
      </c>
      <c r="J858" s="36">
        <v>2</v>
      </c>
      <c r="K858" s="34">
        <v>2014</v>
      </c>
      <c r="L858" s="34">
        <v>8</v>
      </c>
      <c r="M858" s="34">
        <v>30</v>
      </c>
      <c r="N858" s="26"/>
    </row>
    <row r="859" spans="1:14">
      <c r="A859" s="26">
        <v>100201</v>
      </c>
      <c r="B859" s="27" t="s">
        <v>747</v>
      </c>
      <c r="C859" s="26" t="s">
        <v>47</v>
      </c>
      <c r="D859" s="27" t="s">
        <v>48</v>
      </c>
      <c r="G859" s="28">
        <v>0</v>
      </c>
      <c r="H859" s="26">
        <v>1</v>
      </c>
      <c r="I859" s="26">
        <v>9</v>
      </c>
      <c r="J859" s="36">
        <v>2</v>
      </c>
      <c r="K859" s="34">
        <v>2014</v>
      </c>
      <c r="L859" s="34">
        <v>8</v>
      </c>
      <c r="M859" s="34">
        <v>30</v>
      </c>
      <c r="N859" s="26"/>
    </row>
    <row r="860" spans="1:14">
      <c r="A860" s="26">
        <v>100201</v>
      </c>
      <c r="B860" s="27" t="s">
        <v>748</v>
      </c>
      <c r="C860" s="26" t="s">
        <v>47</v>
      </c>
      <c r="D860" s="27" t="s">
        <v>48</v>
      </c>
      <c r="G860" s="28">
        <v>0</v>
      </c>
      <c r="H860" s="26">
        <v>15</v>
      </c>
      <c r="I860" s="26">
        <v>9</v>
      </c>
      <c r="J860" s="36">
        <v>2</v>
      </c>
      <c r="K860" s="34">
        <v>2014</v>
      </c>
      <c r="L860" s="34">
        <v>8</v>
      </c>
      <c r="M860" s="34">
        <v>30</v>
      </c>
      <c r="N860" s="26"/>
    </row>
    <row r="861" spans="1:14">
      <c r="A861" s="26">
        <v>224104</v>
      </c>
      <c r="B861" s="27" t="s">
        <v>749</v>
      </c>
      <c r="C861" s="26" t="s">
        <v>140</v>
      </c>
      <c r="D861" s="27" t="s">
        <v>142</v>
      </c>
      <c r="G861" s="28">
        <v>45.41</v>
      </c>
      <c r="H861" s="26">
        <v>0</v>
      </c>
      <c r="I861" s="26">
        <v>10</v>
      </c>
      <c r="J861" s="36">
        <v>2</v>
      </c>
      <c r="K861" s="34">
        <v>2014</v>
      </c>
      <c r="L861" s="34">
        <v>8</v>
      </c>
      <c r="M861" s="34">
        <v>30</v>
      </c>
      <c r="N861" s="26"/>
    </row>
    <row r="862" spans="1:14">
      <c r="A862" s="26">
        <v>560209</v>
      </c>
      <c r="B862" s="27" t="s">
        <v>750</v>
      </c>
      <c r="C862" s="26" t="s">
        <v>166</v>
      </c>
      <c r="D862" s="27" t="s">
        <v>175</v>
      </c>
      <c r="G862" s="28">
        <v>52</v>
      </c>
      <c r="H862" s="26">
        <v>0</v>
      </c>
      <c r="I862" s="26">
        <v>10</v>
      </c>
      <c r="J862" s="36">
        <v>2</v>
      </c>
      <c r="K862" s="34">
        <v>2014</v>
      </c>
      <c r="L862" s="34">
        <v>8</v>
      </c>
      <c r="M862" s="34">
        <v>30</v>
      </c>
      <c r="N862" s="26"/>
    </row>
    <row r="863" spans="1:14">
      <c r="A863" s="26">
        <v>560206</v>
      </c>
      <c r="B863" s="27" t="s">
        <v>751</v>
      </c>
      <c r="C863" s="26" t="s">
        <v>166</v>
      </c>
      <c r="D863" s="27" t="s">
        <v>172</v>
      </c>
      <c r="G863" s="28">
        <v>36</v>
      </c>
      <c r="H863" s="26">
        <v>0</v>
      </c>
      <c r="I863" s="26">
        <v>10</v>
      </c>
      <c r="J863" s="36">
        <v>2</v>
      </c>
      <c r="K863" s="34">
        <v>2014</v>
      </c>
      <c r="L863" s="34">
        <v>8</v>
      </c>
      <c r="M863" s="34">
        <v>30</v>
      </c>
      <c r="N863" s="26"/>
    </row>
    <row r="864" spans="1:14">
      <c r="A864" s="26">
        <v>100201</v>
      </c>
      <c r="B864" s="27" t="s">
        <v>752</v>
      </c>
      <c r="C864" s="26" t="s">
        <v>47</v>
      </c>
      <c r="D864" s="27" t="s">
        <v>48</v>
      </c>
      <c r="G864" s="28">
        <v>0</v>
      </c>
      <c r="H864" s="26">
        <v>133.41</v>
      </c>
      <c r="I864" s="26">
        <v>10</v>
      </c>
      <c r="J864" s="36">
        <v>2</v>
      </c>
      <c r="K864" s="34">
        <v>2014</v>
      </c>
      <c r="L864" s="34">
        <v>8</v>
      </c>
      <c r="M864" s="34">
        <v>30</v>
      </c>
      <c r="N864" s="26"/>
    </row>
    <row r="865" spans="1:14">
      <c r="A865" s="26">
        <v>222102</v>
      </c>
      <c r="B865" s="27" t="s">
        <v>753</v>
      </c>
      <c r="C865" s="26" t="s">
        <v>126</v>
      </c>
      <c r="D865" s="27" t="s">
        <v>128</v>
      </c>
      <c r="G865" s="28">
        <v>2233.5</v>
      </c>
      <c r="H865" s="26">
        <v>0</v>
      </c>
      <c r="I865" s="26">
        <v>11</v>
      </c>
      <c r="J865" s="36">
        <v>2</v>
      </c>
      <c r="K865" s="34">
        <v>2014</v>
      </c>
      <c r="L865" s="34">
        <v>8</v>
      </c>
      <c r="M865" s="34">
        <v>30</v>
      </c>
      <c r="N865" s="26"/>
    </row>
    <row r="866" spans="1:14">
      <c r="A866" s="26">
        <v>222103</v>
      </c>
      <c r="B866" s="27" t="s">
        <v>753</v>
      </c>
      <c r="C866" s="26" t="s">
        <v>126</v>
      </c>
      <c r="D866" s="27" t="s">
        <v>129</v>
      </c>
      <c r="G866" s="28">
        <v>156.35</v>
      </c>
      <c r="H866" s="26">
        <v>0</v>
      </c>
      <c r="I866" s="26">
        <v>11</v>
      </c>
      <c r="J866" s="36">
        <v>2</v>
      </c>
      <c r="K866" s="34">
        <v>2014</v>
      </c>
      <c r="L866" s="34">
        <v>8</v>
      </c>
      <c r="M866" s="34">
        <v>30</v>
      </c>
      <c r="N866" s="26"/>
    </row>
    <row r="867" spans="1:14">
      <c r="A867" s="26">
        <v>222104</v>
      </c>
      <c r="B867" s="27" t="s">
        <v>753</v>
      </c>
      <c r="C867" s="26" t="s">
        <v>126</v>
      </c>
      <c r="D867" s="27" t="s">
        <v>130</v>
      </c>
      <c r="G867" s="28">
        <v>111.68</v>
      </c>
      <c r="H867" s="26">
        <v>0</v>
      </c>
      <c r="I867" s="26">
        <v>11</v>
      </c>
      <c r="J867" s="36">
        <v>2</v>
      </c>
      <c r="K867" s="34">
        <v>2014</v>
      </c>
      <c r="L867" s="34">
        <v>8</v>
      </c>
      <c r="M867" s="34">
        <v>30</v>
      </c>
      <c r="N867" s="26"/>
    </row>
    <row r="868" spans="1:14">
      <c r="A868" s="26">
        <v>100201</v>
      </c>
      <c r="B868" s="27" t="s">
        <v>753</v>
      </c>
      <c r="C868" s="26" t="s">
        <v>47</v>
      </c>
      <c r="D868" s="27" t="s">
        <v>48</v>
      </c>
      <c r="G868" s="28">
        <v>0</v>
      </c>
      <c r="H868" s="26">
        <v>2501.53</v>
      </c>
      <c r="I868" s="26">
        <v>11</v>
      </c>
      <c r="J868" s="36">
        <v>2</v>
      </c>
      <c r="K868" s="34">
        <v>2014</v>
      </c>
      <c r="L868" s="34">
        <v>8</v>
      </c>
      <c r="M868" s="34">
        <v>30</v>
      </c>
      <c r="N868" s="26"/>
    </row>
    <row r="869" spans="1:14">
      <c r="A869" s="26">
        <v>100201</v>
      </c>
      <c r="B869" s="27" t="s">
        <v>754</v>
      </c>
      <c r="C869" s="26" t="s">
        <v>47</v>
      </c>
      <c r="D869" s="27" t="s">
        <v>48</v>
      </c>
      <c r="G869" s="28">
        <v>5000</v>
      </c>
      <c r="H869" s="26">
        <v>0</v>
      </c>
      <c r="I869" s="26">
        <v>12</v>
      </c>
      <c r="J869" s="36">
        <v>1</v>
      </c>
      <c r="K869" s="34">
        <v>2014</v>
      </c>
      <c r="L869" s="34">
        <v>8</v>
      </c>
      <c r="M869" s="34">
        <v>30</v>
      </c>
      <c r="N869" s="26"/>
    </row>
    <row r="870" spans="1:14">
      <c r="A870" s="26">
        <v>220307</v>
      </c>
      <c r="B870" s="27" t="s">
        <v>754</v>
      </c>
      <c r="C870" s="26" t="s">
        <v>107</v>
      </c>
      <c r="D870" s="27" t="s">
        <v>112</v>
      </c>
      <c r="G870" s="28">
        <v>0</v>
      </c>
      <c r="H870" s="26">
        <v>5000</v>
      </c>
      <c r="I870" s="26">
        <v>12</v>
      </c>
      <c r="J870" s="36">
        <v>1</v>
      </c>
      <c r="K870" s="34">
        <v>2014</v>
      </c>
      <c r="L870" s="34">
        <v>8</v>
      </c>
      <c r="M870" s="34">
        <v>30</v>
      </c>
      <c r="N870" s="26"/>
    </row>
    <row r="871" spans="1:14">
      <c r="A871" s="26">
        <v>100201</v>
      </c>
      <c r="B871" s="27" t="s">
        <v>755</v>
      </c>
      <c r="C871" s="26" t="s">
        <v>47</v>
      </c>
      <c r="D871" s="27" t="s">
        <v>48</v>
      </c>
      <c r="G871" s="28">
        <v>114400</v>
      </c>
      <c r="H871" s="26">
        <v>0</v>
      </c>
      <c r="I871" s="26">
        <v>13</v>
      </c>
      <c r="J871" s="36">
        <v>1</v>
      </c>
      <c r="K871" s="34">
        <v>2014</v>
      </c>
      <c r="L871" s="34">
        <v>8</v>
      </c>
      <c r="M871" s="34">
        <v>30</v>
      </c>
      <c r="N871" s="26"/>
    </row>
    <row r="872" spans="1:14">
      <c r="A872" s="26">
        <v>224101</v>
      </c>
      <c r="B872" s="27" t="s">
        <v>756</v>
      </c>
      <c r="C872" s="26" t="s">
        <v>140</v>
      </c>
      <c r="D872" s="27" t="s">
        <v>12</v>
      </c>
      <c r="G872" s="28">
        <v>0</v>
      </c>
      <c r="H872" s="26">
        <v>114400</v>
      </c>
      <c r="I872" s="26">
        <v>13</v>
      </c>
      <c r="J872" s="36">
        <v>1</v>
      </c>
      <c r="K872" s="34">
        <v>2014</v>
      </c>
      <c r="L872" s="34">
        <v>8</v>
      </c>
      <c r="M872" s="34">
        <v>30</v>
      </c>
      <c r="N872" s="26"/>
    </row>
    <row r="873" spans="1:14">
      <c r="A873" s="26">
        <v>560201</v>
      </c>
      <c r="B873" s="27" t="s">
        <v>757</v>
      </c>
      <c r="C873" s="26" t="s">
        <v>166</v>
      </c>
      <c r="D873" s="27" t="s">
        <v>167</v>
      </c>
      <c r="G873" s="28">
        <v>20420</v>
      </c>
      <c r="H873" s="26">
        <v>0</v>
      </c>
      <c r="I873" s="26">
        <v>14</v>
      </c>
      <c r="J873" s="36">
        <v>1</v>
      </c>
      <c r="K873" s="34">
        <v>2014</v>
      </c>
      <c r="L873" s="34">
        <v>8</v>
      </c>
      <c r="M873" s="34">
        <v>30</v>
      </c>
      <c r="N873" s="26"/>
    </row>
    <row r="874" spans="1:14">
      <c r="A874" s="26">
        <v>560210</v>
      </c>
      <c r="B874" s="27" t="s">
        <v>758</v>
      </c>
      <c r="C874" s="26" t="s">
        <v>166</v>
      </c>
      <c r="D874" s="27" t="s">
        <v>176</v>
      </c>
      <c r="G874" s="28">
        <v>2012.52</v>
      </c>
      <c r="H874" s="26">
        <v>0</v>
      </c>
      <c r="I874" s="26">
        <v>14</v>
      </c>
      <c r="J874" s="36">
        <v>1</v>
      </c>
      <c r="K874" s="34">
        <v>2014</v>
      </c>
      <c r="L874" s="34">
        <v>8</v>
      </c>
      <c r="M874" s="34">
        <v>30</v>
      </c>
      <c r="N874" s="26"/>
    </row>
    <row r="875" spans="1:14">
      <c r="A875" s="26">
        <v>221101</v>
      </c>
      <c r="B875" s="27" t="s">
        <v>757</v>
      </c>
      <c r="C875" s="26" t="s">
        <v>113</v>
      </c>
      <c r="D875" s="27" t="s">
        <v>114</v>
      </c>
      <c r="G875" s="28">
        <v>0</v>
      </c>
      <c r="H875" s="26">
        <v>20420</v>
      </c>
      <c r="I875" s="26">
        <v>14</v>
      </c>
      <c r="J875" s="36">
        <v>1</v>
      </c>
      <c r="K875" s="34">
        <v>2014</v>
      </c>
      <c r="L875" s="34">
        <v>8</v>
      </c>
      <c r="M875" s="34">
        <v>30</v>
      </c>
      <c r="N875" s="26"/>
    </row>
    <row r="876" spans="1:14">
      <c r="A876" s="26">
        <v>221104</v>
      </c>
      <c r="B876" s="27" t="s">
        <v>758</v>
      </c>
      <c r="C876" s="26" t="s">
        <v>113</v>
      </c>
      <c r="D876" s="27" t="s">
        <v>117</v>
      </c>
      <c r="G876" s="28">
        <v>0</v>
      </c>
      <c r="H876" s="26">
        <v>2012.52</v>
      </c>
      <c r="I876" s="26">
        <v>14</v>
      </c>
      <c r="J876" s="36">
        <v>1</v>
      </c>
      <c r="K876" s="34">
        <v>2014</v>
      </c>
      <c r="L876" s="34">
        <v>8</v>
      </c>
      <c r="M876" s="34">
        <v>30</v>
      </c>
      <c r="N876" s="26"/>
    </row>
    <row r="877" spans="1:14">
      <c r="A877" s="26">
        <v>221101</v>
      </c>
      <c r="B877" s="27" t="s">
        <v>759</v>
      </c>
      <c r="C877" s="26" t="s">
        <v>113</v>
      </c>
      <c r="D877" s="27" t="s">
        <v>114</v>
      </c>
      <c r="G877" s="28">
        <v>20420</v>
      </c>
      <c r="H877" s="26">
        <v>0</v>
      </c>
      <c r="I877" s="26">
        <v>15</v>
      </c>
      <c r="J877" s="36">
        <v>1</v>
      </c>
      <c r="K877" s="34">
        <v>2014</v>
      </c>
      <c r="L877" s="34">
        <v>8</v>
      </c>
      <c r="M877" s="34">
        <v>30</v>
      </c>
      <c r="N877" s="26"/>
    </row>
    <row r="878" spans="1:14">
      <c r="A878" s="26">
        <v>221104</v>
      </c>
      <c r="B878" s="27" t="s">
        <v>760</v>
      </c>
      <c r="C878" s="26" t="s">
        <v>113</v>
      </c>
      <c r="D878" s="27" t="s">
        <v>117</v>
      </c>
      <c r="G878" s="28">
        <v>0</v>
      </c>
      <c r="H878" s="26">
        <v>748.65</v>
      </c>
      <c r="I878" s="26">
        <v>15</v>
      </c>
      <c r="J878" s="36">
        <v>1</v>
      </c>
      <c r="K878" s="34">
        <v>2014</v>
      </c>
      <c r="L878" s="34">
        <v>8</v>
      </c>
      <c r="M878" s="34">
        <v>30</v>
      </c>
      <c r="N878" s="26"/>
    </row>
    <row r="879" spans="1:14">
      <c r="A879" s="26">
        <v>224105</v>
      </c>
      <c r="B879" s="27" t="s">
        <v>759</v>
      </c>
      <c r="C879" s="26" t="s">
        <v>140</v>
      </c>
      <c r="D879" s="27" t="s">
        <v>143</v>
      </c>
      <c r="G879" s="28">
        <v>0</v>
      </c>
      <c r="H879" s="26">
        <v>19671.35</v>
      </c>
      <c r="I879" s="26">
        <v>15</v>
      </c>
      <c r="J879" s="36">
        <v>1</v>
      </c>
      <c r="K879" s="34">
        <v>2014</v>
      </c>
      <c r="L879" s="34">
        <v>8</v>
      </c>
      <c r="M879" s="34">
        <v>30</v>
      </c>
      <c r="N879" s="26"/>
    </row>
    <row r="880" spans="1:14">
      <c r="A880" s="26">
        <v>560201</v>
      </c>
      <c r="B880" s="27" t="s">
        <v>761</v>
      </c>
      <c r="C880" s="26" t="s">
        <v>166</v>
      </c>
      <c r="D880" s="27" t="s">
        <v>167</v>
      </c>
      <c r="G880" s="28">
        <v>55000</v>
      </c>
      <c r="H880" s="26">
        <v>0</v>
      </c>
      <c r="I880" s="26">
        <v>16</v>
      </c>
      <c r="J880" s="36">
        <v>1</v>
      </c>
      <c r="K880" s="34">
        <v>2014</v>
      </c>
      <c r="L880" s="34">
        <v>8</v>
      </c>
      <c r="M880" s="34">
        <v>30</v>
      </c>
      <c r="N880" s="26"/>
    </row>
    <row r="881" spans="1:14">
      <c r="A881" s="26">
        <v>221101</v>
      </c>
      <c r="B881" s="27" t="s">
        <v>761</v>
      </c>
      <c r="C881" s="26" t="s">
        <v>113</v>
      </c>
      <c r="D881" s="27" t="s">
        <v>114</v>
      </c>
      <c r="G881" s="28">
        <v>0</v>
      </c>
      <c r="H881" s="26">
        <v>55000</v>
      </c>
      <c r="I881" s="26">
        <v>16</v>
      </c>
      <c r="J881" s="36">
        <v>1</v>
      </c>
      <c r="K881" s="34">
        <v>2014</v>
      </c>
      <c r="L881" s="34">
        <v>8</v>
      </c>
      <c r="M881" s="34">
        <v>30</v>
      </c>
      <c r="N881" s="26"/>
    </row>
    <row r="882" spans="1:14">
      <c r="A882" s="26">
        <v>160201</v>
      </c>
      <c r="B882" s="27" t="s">
        <v>762</v>
      </c>
      <c r="C882" s="26" t="s">
        <v>99</v>
      </c>
      <c r="D882" s="27" t="s">
        <v>92</v>
      </c>
      <c r="G882" s="28">
        <v>0</v>
      </c>
      <c r="H882" s="26">
        <v>89</v>
      </c>
      <c r="I882" s="26">
        <v>17</v>
      </c>
      <c r="J882" s="36">
        <v>1</v>
      </c>
      <c r="K882" s="34">
        <v>2014</v>
      </c>
      <c r="L882" s="34">
        <v>8</v>
      </c>
      <c r="M882" s="34">
        <v>30</v>
      </c>
      <c r="N882" s="26"/>
    </row>
    <row r="883" spans="1:14">
      <c r="A883" s="26">
        <v>160202</v>
      </c>
      <c r="B883" s="27" t="s">
        <v>762</v>
      </c>
      <c r="C883" s="26" t="s">
        <v>99</v>
      </c>
      <c r="D883" s="27" t="s">
        <v>93</v>
      </c>
      <c r="G883" s="28">
        <v>0</v>
      </c>
      <c r="H883" s="26">
        <v>122</v>
      </c>
      <c r="I883" s="26">
        <v>17</v>
      </c>
      <c r="J883" s="36">
        <v>1</v>
      </c>
      <c r="K883" s="34">
        <v>2014</v>
      </c>
      <c r="L883" s="34">
        <v>8</v>
      </c>
      <c r="M883" s="34">
        <v>30</v>
      </c>
      <c r="N883" s="26"/>
    </row>
    <row r="884" spans="1:14">
      <c r="A884" s="26">
        <v>160203</v>
      </c>
      <c r="B884" s="27" t="s">
        <v>762</v>
      </c>
      <c r="C884" s="26" t="s">
        <v>99</v>
      </c>
      <c r="D884" s="27" t="s">
        <v>94</v>
      </c>
      <c r="G884" s="28">
        <v>0</v>
      </c>
      <c r="H884" s="26">
        <v>107</v>
      </c>
      <c r="I884" s="26">
        <v>17</v>
      </c>
      <c r="J884" s="36">
        <v>1</v>
      </c>
      <c r="K884" s="34">
        <v>2014</v>
      </c>
      <c r="L884" s="34">
        <v>8</v>
      </c>
      <c r="M884" s="34">
        <v>30</v>
      </c>
      <c r="N884" s="26"/>
    </row>
    <row r="885" spans="1:14">
      <c r="A885" s="26">
        <v>160204</v>
      </c>
      <c r="B885" s="27" t="s">
        <v>762</v>
      </c>
      <c r="C885" s="26" t="s">
        <v>99</v>
      </c>
      <c r="D885" s="27" t="s">
        <v>95</v>
      </c>
      <c r="G885" s="28">
        <v>0</v>
      </c>
      <c r="H885" s="26">
        <v>58</v>
      </c>
      <c r="I885" s="26">
        <v>17</v>
      </c>
      <c r="J885" s="36">
        <v>1</v>
      </c>
      <c r="K885" s="34">
        <v>2014</v>
      </c>
      <c r="L885" s="34">
        <v>8</v>
      </c>
      <c r="M885" s="34">
        <v>30</v>
      </c>
      <c r="N885" s="26"/>
    </row>
    <row r="886" spans="1:14">
      <c r="A886" s="26">
        <v>160205</v>
      </c>
      <c r="B886" s="27" t="s">
        <v>762</v>
      </c>
      <c r="C886" s="26" t="s">
        <v>99</v>
      </c>
      <c r="D886" s="27" t="s">
        <v>96</v>
      </c>
      <c r="G886" s="28">
        <v>0</v>
      </c>
      <c r="H886" s="26">
        <v>69</v>
      </c>
      <c r="I886" s="26">
        <v>17</v>
      </c>
      <c r="J886" s="36">
        <v>1</v>
      </c>
      <c r="K886" s="34">
        <v>2014</v>
      </c>
      <c r="L886" s="34">
        <v>8</v>
      </c>
      <c r="M886" s="34">
        <v>30</v>
      </c>
      <c r="N886" s="26"/>
    </row>
    <row r="887" spans="1:14">
      <c r="A887" s="26">
        <v>160206</v>
      </c>
      <c r="B887" s="27" t="s">
        <v>762</v>
      </c>
      <c r="C887" s="26" t="s">
        <v>99</v>
      </c>
      <c r="D887" s="27" t="s">
        <v>97</v>
      </c>
      <c r="G887" s="28">
        <v>0</v>
      </c>
      <c r="H887" s="26">
        <v>73</v>
      </c>
      <c r="I887" s="26">
        <v>17</v>
      </c>
      <c r="J887" s="36">
        <v>1</v>
      </c>
      <c r="K887" s="34">
        <v>2014</v>
      </c>
      <c r="L887" s="34">
        <v>8</v>
      </c>
      <c r="M887" s="34">
        <v>30</v>
      </c>
      <c r="N887" s="26"/>
    </row>
    <row r="888" spans="1:14">
      <c r="A888" s="26">
        <v>160207</v>
      </c>
      <c r="B888" s="27" t="s">
        <v>762</v>
      </c>
      <c r="C888" s="26" t="s">
        <v>99</v>
      </c>
      <c r="D888" s="27" t="s">
        <v>98</v>
      </c>
      <c r="G888" s="28">
        <v>0</v>
      </c>
      <c r="H888" s="26">
        <v>46</v>
      </c>
      <c r="I888" s="26">
        <v>17</v>
      </c>
      <c r="J888" s="36">
        <v>1</v>
      </c>
      <c r="K888" s="34">
        <v>2014</v>
      </c>
      <c r="L888" s="34">
        <v>8</v>
      </c>
      <c r="M888" s="34">
        <v>30</v>
      </c>
      <c r="N888" s="26"/>
    </row>
    <row r="889" spans="1:14">
      <c r="A889" s="26">
        <v>560202</v>
      </c>
      <c r="B889" s="27" t="s">
        <v>762</v>
      </c>
      <c r="C889" s="26" t="s">
        <v>166</v>
      </c>
      <c r="D889" s="27" t="s">
        <v>168</v>
      </c>
      <c r="G889" s="28">
        <v>564</v>
      </c>
      <c r="H889" s="26">
        <v>0</v>
      </c>
      <c r="I889" s="26">
        <v>17</v>
      </c>
      <c r="J889" s="36">
        <v>1</v>
      </c>
      <c r="K889" s="34">
        <v>2014</v>
      </c>
      <c r="L889" s="34">
        <v>8</v>
      </c>
      <c r="M889" s="34">
        <v>30</v>
      </c>
      <c r="N889" s="26"/>
    </row>
    <row r="890" spans="1:14">
      <c r="A890" s="26">
        <v>112204</v>
      </c>
      <c r="B890" s="27" t="s">
        <v>763</v>
      </c>
      <c r="C890" s="26" t="s">
        <v>49</v>
      </c>
      <c r="D890" s="27" t="s">
        <v>255</v>
      </c>
      <c r="G890" s="28">
        <v>1800</v>
      </c>
      <c r="H890" s="26">
        <v>0</v>
      </c>
      <c r="I890" s="26">
        <v>18</v>
      </c>
      <c r="J890" s="36">
        <v>4</v>
      </c>
      <c r="K890" s="34">
        <v>2014</v>
      </c>
      <c r="L890" s="34">
        <v>8</v>
      </c>
      <c r="M890" s="34">
        <v>30</v>
      </c>
      <c r="N890" s="26"/>
    </row>
    <row r="891" spans="1:14">
      <c r="A891" s="26">
        <v>112204</v>
      </c>
      <c r="B891" s="27" t="s">
        <v>764</v>
      </c>
      <c r="C891" s="26" t="s">
        <v>49</v>
      </c>
      <c r="D891" s="27" t="s">
        <v>255</v>
      </c>
      <c r="G891" s="28">
        <v>1800</v>
      </c>
      <c r="H891" s="26">
        <v>0</v>
      </c>
      <c r="I891" s="26">
        <v>18</v>
      </c>
      <c r="J891" s="36">
        <v>4</v>
      </c>
      <c r="K891" s="34">
        <v>2014</v>
      </c>
      <c r="L891" s="34">
        <v>8</v>
      </c>
      <c r="M891" s="34">
        <v>30</v>
      </c>
      <c r="N891" s="26"/>
    </row>
    <row r="892" spans="1:14">
      <c r="A892" s="26">
        <v>112204</v>
      </c>
      <c r="B892" s="27" t="s">
        <v>765</v>
      </c>
      <c r="C892" s="26" t="s">
        <v>49</v>
      </c>
      <c r="D892" s="27" t="s">
        <v>255</v>
      </c>
      <c r="G892" s="28">
        <v>4500</v>
      </c>
      <c r="H892" s="26">
        <v>0</v>
      </c>
      <c r="I892" s="26">
        <v>18</v>
      </c>
      <c r="J892" s="36">
        <v>4</v>
      </c>
      <c r="K892" s="34">
        <v>2014</v>
      </c>
      <c r="L892" s="34">
        <v>8</v>
      </c>
      <c r="M892" s="34">
        <v>30</v>
      </c>
      <c r="N892" s="26"/>
    </row>
    <row r="893" spans="1:14">
      <c r="A893" s="26">
        <v>112204</v>
      </c>
      <c r="B893" s="27" t="s">
        <v>766</v>
      </c>
      <c r="C893" s="26" t="s">
        <v>49</v>
      </c>
      <c r="D893" s="27" t="s">
        <v>255</v>
      </c>
      <c r="G893" s="28">
        <v>4000</v>
      </c>
      <c r="H893" s="26">
        <v>0</v>
      </c>
      <c r="I893" s="26">
        <v>18</v>
      </c>
      <c r="J893" s="36">
        <v>4</v>
      </c>
      <c r="K893" s="34">
        <v>2014</v>
      </c>
      <c r="L893" s="34">
        <v>8</v>
      </c>
      <c r="M893" s="34">
        <v>30</v>
      </c>
      <c r="N893" s="26"/>
    </row>
    <row r="894" spans="1:14">
      <c r="A894" s="26">
        <v>500102</v>
      </c>
      <c r="B894" s="27" t="s">
        <v>767</v>
      </c>
      <c r="C894" s="26" t="s">
        <v>157</v>
      </c>
      <c r="D894" s="27" t="s">
        <v>159</v>
      </c>
      <c r="G894" s="28">
        <v>0</v>
      </c>
      <c r="H894" s="26">
        <v>12100</v>
      </c>
      <c r="I894" s="26">
        <v>18</v>
      </c>
      <c r="J894" s="36">
        <v>4</v>
      </c>
      <c r="K894" s="34">
        <v>2014</v>
      </c>
      <c r="L894" s="34">
        <v>8</v>
      </c>
      <c r="M894" s="34">
        <v>30</v>
      </c>
      <c r="N894" s="26"/>
    </row>
    <row r="895" spans="1:14">
      <c r="A895" s="26">
        <v>100201</v>
      </c>
      <c r="B895" s="27" t="s">
        <v>768</v>
      </c>
      <c r="C895" s="26" t="s">
        <v>47</v>
      </c>
      <c r="D895" s="27" t="s">
        <v>48</v>
      </c>
      <c r="G895" s="28">
        <v>5250</v>
      </c>
      <c r="H895" s="26">
        <v>0</v>
      </c>
      <c r="I895" s="26">
        <v>19</v>
      </c>
      <c r="J895" s="36">
        <v>1</v>
      </c>
      <c r="K895" s="34">
        <v>2014</v>
      </c>
      <c r="L895" s="34">
        <v>8</v>
      </c>
      <c r="M895" s="34">
        <v>30</v>
      </c>
      <c r="N895" s="26"/>
    </row>
    <row r="896" spans="1:14">
      <c r="A896" s="26">
        <v>112204</v>
      </c>
      <c r="B896" s="27" t="s">
        <v>769</v>
      </c>
      <c r="C896" s="26" t="s">
        <v>49</v>
      </c>
      <c r="D896" s="27" t="s">
        <v>255</v>
      </c>
      <c r="G896" s="28">
        <v>0</v>
      </c>
      <c r="H896" s="26">
        <v>5250</v>
      </c>
      <c r="I896" s="26">
        <v>19</v>
      </c>
      <c r="J896" s="36">
        <v>1</v>
      </c>
      <c r="K896" s="34">
        <v>2014</v>
      </c>
      <c r="L896" s="34">
        <v>8</v>
      </c>
      <c r="M896" s="34">
        <v>30</v>
      </c>
      <c r="N896" s="26"/>
    </row>
    <row r="897" spans="1:14">
      <c r="A897" s="26">
        <v>560203</v>
      </c>
      <c r="B897" s="27" t="s">
        <v>243</v>
      </c>
      <c r="C897" s="26" t="s">
        <v>166</v>
      </c>
      <c r="D897" s="27" t="s">
        <v>169</v>
      </c>
      <c r="G897" s="28">
        <v>200</v>
      </c>
      <c r="H897" s="26">
        <v>0</v>
      </c>
      <c r="I897" s="26">
        <v>20</v>
      </c>
      <c r="J897" s="36">
        <v>3</v>
      </c>
      <c r="K897" s="34">
        <v>2014</v>
      </c>
      <c r="L897" s="34">
        <v>8</v>
      </c>
      <c r="M897" s="34">
        <v>30</v>
      </c>
      <c r="N897" s="26"/>
    </row>
    <row r="898" spans="1:14">
      <c r="A898" s="26">
        <v>560209</v>
      </c>
      <c r="B898" s="27" t="s">
        <v>695</v>
      </c>
      <c r="C898" s="26" t="s">
        <v>166</v>
      </c>
      <c r="D898" s="27" t="s">
        <v>175</v>
      </c>
      <c r="G898" s="28">
        <v>54</v>
      </c>
      <c r="H898" s="26">
        <v>0</v>
      </c>
      <c r="I898" s="26">
        <v>20</v>
      </c>
      <c r="J898" s="36">
        <v>3</v>
      </c>
      <c r="K898" s="34">
        <v>2014</v>
      </c>
      <c r="L898" s="34">
        <v>8</v>
      </c>
      <c r="M898" s="34">
        <v>30</v>
      </c>
      <c r="N898" s="26"/>
    </row>
    <row r="899" spans="1:14">
      <c r="A899" s="26">
        <v>122105</v>
      </c>
      <c r="B899" s="27" t="s">
        <v>770</v>
      </c>
      <c r="C899" s="26" t="s">
        <v>78</v>
      </c>
      <c r="D899" s="27" t="s">
        <v>83</v>
      </c>
      <c r="G899" s="28">
        <v>1500</v>
      </c>
      <c r="H899" s="26">
        <v>0</v>
      </c>
      <c r="I899" s="26">
        <v>20</v>
      </c>
      <c r="J899" s="36">
        <v>3</v>
      </c>
      <c r="K899" s="34">
        <v>2014</v>
      </c>
      <c r="L899" s="34">
        <v>8</v>
      </c>
      <c r="M899" s="34">
        <v>30</v>
      </c>
      <c r="N899" s="26"/>
    </row>
    <row r="900" spans="1:14">
      <c r="A900" s="26">
        <v>100101</v>
      </c>
      <c r="B900" s="27" t="s">
        <v>771</v>
      </c>
      <c r="C900" s="26" t="s">
        <v>46</v>
      </c>
      <c r="D900" s="27" t="s">
        <v>199</v>
      </c>
      <c r="G900" s="28">
        <v>0</v>
      </c>
      <c r="H900" s="26">
        <v>1754</v>
      </c>
      <c r="I900" s="26">
        <v>20</v>
      </c>
      <c r="J900" s="36">
        <v>3</v>
      </c>
      <c r="K900" s="34">
        <v>2014</v>
      </c>
      <c r="L900" s="34">
        <v>8</v>
      </c>
      <c r="M900" s="34">
        <v>30</v>
      </c>
      <c r="N900" s="26"/>
    </row>
    <row r="901" spans="1:14">
      <c r="A901" s="26">
        <v>560207</v>
      </c>
      <c r="B901" s="27" t="s">
        <v>772</v>
      </c>
      <c r="C901" s="26" t="s">
        <v>166</v>
      </c>
      <c r="D901" s="27" t="s">
        <v>173</v>
      </c>
      <c r="G901" s="28">
        <v>650</v>
      </c>
      <c r="H901" s="26">
        <v>0</v>
      </c>
      <c r="I901" s="26">
        <v>21</v>
      </c>
      <c r="J901" s="36">
        <v>4</v>
      </c>
      <c r="K901" s="34">
        <v>2014</v>
      </c>
      <c r="L901" s="34">
        <v>8</v>
      </c>
      <c r="M901" s="34">
        <v>30</v>
      </c>
      <c r="N901" s="26"/>
    </row>
    <row r="902" spans="1:14">
      <c r="A902" s="26">
        <v>560203</v>
      </c>
      <c r="B902" s="27" t="s">
        <v>773</v>
      </c>
      <c r="C902" s="26" t="s">
        <v>166</v>
      </c>
      <c r="D902" s="27" t="s">
        <v>169</v>
      </c>
      <c r="G902" s="28">
        <v>195</v>
      </c>
      <c r="H902" s="26">
        <v>0</v>
      </c>
      <c r="I902" s="26">
        <v>21</v>
      </c>
      <c r="J902" s="36">
        <v>4</v>
      </c>
      <c r="K902" s="34">
        <v>2014</v>
      </c>
      <c r="L902" s="34">
        <v>8</v>
      </c>
      <c r="M902" s="34">
        <v>30</v>
      </c>
      <c r="N902" s="26"/>
    </row>
    <row r="903" spans="1:14">
      <c r="A903" s="26">
        <v>560209</v>
      </c>
      <c r="B903" s="27" t="s">
        <v>774</v>
      </c>
      <c r="C903" s="26" t="s">
        <v>166</v>
      </c>
      <c r="D903" s="27" t="s">
        <v>175</v>
      </c>
      <c r="G903" s="28">
        <v>11</v>
      </c>
      <c r="H903" s="26">
        <v>0</v>
      </c>
      <c r="I903" s="26">
        <v>21</v>
      </c>
      <c r="J903" s="36">
        <v>4</v>
      </c>
      <c r="K903" s="34">
        <v>2014</v>
      </c>
      <c r="L903" s="34">
        <v>8</v>
      </c>
      <c r="M903" s="34">
        <v>30</v>
      </c>
      <c r="N903" s="26"/>
    </row>
    <row r="904" spans="1:14">
      <c r="A904" s="26">
        <v>560204</v>
      </c>
      <c r="B904" s="27" t="s">
        <v>775</v>
      </c>
      <c r="C904" s="26" t="s">
        <v>166</v>
      </c>
      <c r="D904" s="27" t="s">
        <v>170</v>
      </c>
      <c r="G904" s="28">
        <v>196</v>
      </c>
      <c r="H904" s="26">
        <v>0</v>
      </c>
      <c r="I904" s="26">
        <v>21</v>
      </c>
      <c r="J904" s="36">
        <v>4</v>
      </c>
      <c r="K904" s="34">
        <v>2014</v>
      </c>
      <c r="L904" s="34">
        <v>8</v>
      </c>
      <c r="M904" s="34">
        <v>30</v>
      </c>
      <c r="N904" s="26"/>
    </row>
    <row r="905" spans="1:14">
      <c r="A905" s="26">
        <v>100101</v>
      </c>
      <c r="B905" s="27" t="s">
        <v>776</v>
      </c>
      <c r="C905" s="26" t="s">
        <v>46</v>
      </c>
      <c r="D905" s="27" t="s">
        <v>199</v>
      </c>
      <c r="G905" s="28">
        <v>0</v>
      </c>
      <c r="H905" s="26">
        <v>1052</v>
      </c>
      <c r="I905" s="26">
        <v>21</v>
      </c>
      <c r="J905" s="36">
        <v>4</v>
      </c>
      <c r="K905" s="34">
        <v>2014</v>
      </c>
      <c r="L905" s="34">
        <v>8</v>
      </c>
      <c r="M905" s="34">
        <v>30</v>
      </c>
      <c r="N905" s="26"/>
    </row>
    <row r="906" spans="1:14">
      <c r="A906" s="26">
        <v>112312</v>
      </c>
      <c r="B906" s="27" t="s">
        <v>542</v>
      </c>
      <c r="C906" s="26" t="s">
        <v>64</v>
      </c>
      <c r="D906" s="27" t="s">
        <v>71</v>
      </c>
      <c r="G906" s="28">
        <v>2000</v>
      </c>
      <c r="H906" s="26">
        <v>0</v>
      </c>
      <c r="I906" s="26">
        <v>22</v>
      </c>
      <c r="J906" s="36">
        <v>2</v>
      </c>
      <c r="K906" s="34">
        <v>2014</v>
      </c>
      <c r="L906" s="34">
        <v>8</v>
      </c>
      <c r="M906" s="34">
        <v>30</v>
      </c>
      <c r="N906" s="26"/>
    </row>
    <row r="907" spans="1:14">
      <c r="A907" s="26">
        <v>100101</v>
      </c>
      <c r="B907" s="27" t="s">
        <v>777</v>
      </c>
      <c r="C907" s="26" t="s">
        <v>46</v>
      </c>
      <c r="D907" s="27" t="s">
        <v>199</v>
      </c>
      <c r="G907" s="28">
        <v>0</v>
      </c>
      <c r="H907" s="26">
        <v>1000</v>
      </c>
      <c r="I907" s="26">
        <v>22</v>
      </c>
      <c r="J907" s="36">
        <v>2</v>
      </c>
      <c r="K907" s="34">
        <v>2014</v>
      </c>
      <c r="L907" s="34">
        <v>8</v>
      </c>
      <c r="M907" s="34">
        <v>30</v>
      </c>
      <c r="N907" s="26"/>
    </row>
    <row r="908" spans="1:14">
      <c r="A908" s="26">
        <v>100201</v>
      </c>
      <c r="B908" s="27" t="s">
        <v>778</v>
      </c>
      <c r="C908" s="26" t="s">
        <v>47</v>
      </c>
      <c r="D908" s="27" t="s">
        <v>48</v>
      </c>
      <c r="G908" s="28">
        <v>0</v>
      </c>
      <c r="H908" s="26">
        <v>1000</v>
      </c>
      <c r="I908" s="26">
        <v>22</v>
      </c>
      <c r="J908" s="36">
        <v>2</v>
      </c>
      <c r="K908" s="34">
        <v>2014</v>
      </c>
      <c r="L908" s="34">
        <v>8</v>
      </c>
      <c r="M908" s="34">
        <v>30</v>
      </c>
      <c r="N908" s="26"/>
    </row>
    <row r="909" spans="1:14">
      <c r="A909" s="26">
        <v>100101</v>
      </c>
      <c r="B909" s="27" t="s">
        <v>779</v>
      </c>
      <c r="C909" s="26" t="s">
        <v>46</v>
      </c>
      <c r="D909" s="27" t="s">
        <v>199</v>
      </c>
      <c r="G909" s="28">
        <v>1500</v>
      </c>
      <c r="H909" s="26">
        <v>0</v>
      </c>
      <c r="I909" s="26">
        <v>23</v>
      </c>
      <c r="J909" s="36">
        <v>2</v>
      </c>
      <c r="K909" s="34">
        <v>2014</v>
      </c>
      <c r="L909" s="34">
        <v>8</v>
      </c>
      <c r="M909" s="34">
        <v>30</v>
      </c>
      <c r="N909" s="26"/>
    </row>
    <row r="910" spans="1:14">
      <c r="A910" s="26">
        <v>224101</v>
      </c>
      <c r="B910" s="27" t="s">
        <v>779</v>
      </c>
      <c r="C910" s="26" t="s">
        <v>140</v>
      </c>
      <c r="D910" s="27" t="s">
        <v>12</v>
      </c>
      <c r="G910" s="28">
        <v>0</v>
      </c>
      <c r="H910" s="26">
        <v>500</v>
      </c>
      <c r="I910" s="26">
        <v>23</v>
      </c>
      <c r="J910" s="36">
        <v>2</v>
      </c>
      <c r="K910" s="34">
        <v>2014</v>
      </c>
      <c r="L910" s="34">
        <v>8</v>
      </c>
      <c r="M910" s="34">
        <v>30</v>
      </c>
      <c r="N910" s="26"/>
    </row>
    <row r="911" spans="1:14">
      <c r="A911" s="26">
        <v>224101</v>
      </c>
      <c r="B911" s="27" t="s">
        <v>779</v>
      </c>
      <c r="C911" s="26" t="s">
        <v>140</v>
      </c>
      <c r="D911" s="27" t="s">
        <v>12</v>
      </c>
      <c r="E911" s="26" t="s">
        <v>199</v>
      </c>
      <c r="F911" s="26" t="s">
        <v>199</v>
      </c>
      <c r="G911" s="28">
        <v>0</v>
      </c>
      <c r="H911" s="26">
        <v>1000</v>
      </c>
      <c r="I911" s="26">
        <v>23</v>
      </c>
      <c r="J911" s="36">
        <v>2</v>
      </c>
      <c r="K911" s="34">
        <v>2014</v>
      </c>
      <c r="L911" s="34">
        <v>8</v>
      </c>
      <c r="M911" s="34">
        <v>30</v>
      </c>
      <c r="N911" s="26"/>
    </row>
    <row r="912" spans="1:14">
      <c r="A912" s="26">
        <v>500103</v>
      </c>
      <c r="B912" s="27" t="s">
        <v>780</v>
      </c>
      <c r="C912" s="26" t="s">
        <v>157</v>
      </c>
      <c r="D912" s="27" t="s">
        <v>160</v>
      </c>
      <c r="G912" s="28">
        <v>0</v>
      </c>
      <c r="H912" s="26">
        <v>20000</v>
      </c>
      <c r="I912" s="26">
        <v>24</v>
      </c>
      <c r="J912" s="36">
        <v>1</v>
      </c>
      <c r="K912" s="34">
        <v>2014</v>
      </c>
      <c r="L912" s="34">
        <v>8</v>
      </c>
      <c r="M912" s="34">
        <v>30</v>
      </c>
      <c r="N912" s="26"/>
    </row>
    <row r="913" spans="1:14">
      <c r="A913" s="26">
        <v>112207</v>
      </c>
      <c r="B913" s="27" t="s">
        <v>781</v>
      </c>
      <c r="C913" s="26" t="s">
        <v>49</v>
      </c>
      <c r="D913" s="27" t="s">
        <v>56</v>
      </c>
      <c r="G913" s="28">
        <v>20000</v>
      </c>
      <c r="H913" s="26">
        <v>0</v>
      </c>
      <c r="I913" s="26">
        <v>24</v>
      </c>
      <c r="J913" s="36">
        <v>1</v>
      </c>
      <c r="K913" s="34">
        <v>2014</v>
      </c>
      <c r="L913" s="34">
        <v>8</v>
      </c>
      <c r="M913" s="34">
        <v>30</v>
      </c>
      <c r="N913" s="26"/>
    </row>
    <row r="914" spans="1:14">
      <c r="A914" s="26">
        <v>220307</v>
      </c>
      <c r="B914" s="27" t="s">
        <v>754</v>
      </c>
      <c r="C914" s="26" t="s">
        <v>107</v>
      </c>
      <c r="D914" s="27" t="s">
        <v>112</v>
      </c>
      <c r="G914" s="28">
        <v>5000</v>
      </c>
      <c r="H914" s="26">
        <v>0</v>
      </c>
      <c r="I914" s="26">
        <v>25</v>
      </c>
      <c r="J914" s="36">
        <v>1</v>
      </c>
      <c r="K914" s="34">
        <v>2014</v>
      </c>
      <c r="L914" s="34">
        <v>8</v>
      </c>
      <c r="M914" s="34">
        <v>30</v>
      </c>
      <c r="N914" s="26"/>
    </row>
    <row r="915" spans="1:14">
      <c r="A915" s="26">
        <v>112207</v>
      </c>
      <c r="B915" s="27" t="s">
        <v>782</v>
      </c>
      <c r="C915" s="26" t="s">
        <v>49</v>
      </c>
      <c r="D915" s="27" t="s">
        <v>56</v>
      </c>
      <c r="G915" s="28">
        <v>0</v>
      </c>
      <c r="H915" s="26">
        <v>5000</v>
      </c>
      <c r="I915" s="26">
        <v>25</v>
      </c>
      <c r="J915" s="36">
        <v>1</v>
      </c>
      <c r="K915" s="34">
        <v>2014</v>
      </c>
      <c r="L915" s="34">
        <v>8</v>
      </c>
      <c r="M915" s="34">
        <v>30</v>
      </c>
      <c r="N915" s="26"/>
    </row>
    <row r="916" spans="1:14">
      <c r="A916" s="26">
        <v>540103</v>
      </c>
      <c r="B916" s="27" t="s">
        <v>783</v>
      </c>
      <c r="C916" s="26" t="s">
        <v>161</v>
      </c>
      <c r="D916" s="27" t="s">
        <v>164</v>
      </c>
      <c r="G916" s="28">
        <v>14000</v>
      </c>
      <c r="H916" s="26">
        <v>0</v>
      </c>
      <c r="I916" s="26">
        <v>26</v>
      </c>
      <c r="J916" s="36">
        <v>0</v>
      </c>
      <c r="K916" s="34">
        <v>2014</v>
      </c>
      <c r="L916" s="34">
        <v>8</v>
      </c>
      <c r="M916" s="34">
        <v>30</v>
      </c>
      <c r="N916" s="26"/>
    </row>
    <row r="917" spans="1:14">
      <c r="A917" s="26">
        <v>112310</v>
      </c>
      <c r="B917" s="27" t="s">
        <v>783</v>
      </c>
      <c r="C917" s="26" t="s">
        <v>64</v>
      </c>
      <c r="D917" s="27" t="s">
        <v>69</v>
      </c>
      <c r="G917" s="28">
        <v>0</v>
      </c>
      <c r="H917" s="26">
        <v>14000</v>
      </c>
      <c r="I917" s="26">
        <v>26</v>
      </c>
      <c r="J917" s="36">
        <v>0</v>
      </c>
      <c r="K917" s="34">
        <v>2014</v>
      </c>
      <c r="L917" s="34">
        <v>8</v>
      </c>
      <c r="M917" s="34">
        <v>30</v>
      </c>
      <c r="N917" s="26"/>
    </row>
    <row r="918" spans="1:14">
      <c r="A918" s="26">
        <v>540304</v>
      </c>
      <c r="B918" s="27" t="s">
        <v>784</v>
      </c>
      <c r="C918" s="26" t="s">
        <v>165</v>
      </c>
      <c r="D918" s="27" t="s">
        <v>128</v>
      </c>
      <c r="G918" s="28">
        <v>600</v>
      </c>
      <c r="H918" s="26">
        <v>0</v>
      </c>
      <c r="I918" s="26">
        <v>27</v>
      </c>
      <c r="J918" s="36">
        <v>1</v>
      </c>
      <c r="K918" s="34">
        <v>2014</v>
      </c>
      <c r="L918" s="34">
        <v>8</v>
      </c>
      <c r="M918" s="34">
        <v>30</v>
      </c>
      <c r="N918" s="26"/>
    </row>
    <row r="919" spans="1:14">
      <c r="A919" s="26">
        <v>540301</v>
      </c>
      <c r="B919" s="27" t="s">
        <v>784</v>
      </c>
      <c r="C919" s="26" t="s">
        <v>165</v>
      </c>
      <c r="D919" s="27" t="s">
        <v>129</v>
      </c>
      <c r="G919" s="28">
        <v>42</v>
      </c>
      <c r="H919" s="26">
        <v>0</v>
      </c>
      <c r="I919" s="26">
        <v>27</v>
      </c>
      <c r="J919" s="36">
        <v>1</v>
      </c>
      <c r="K919" s="34">
        <v>2014</v>
      </c>
      <c r="L919" s="34">
        <v>8</v>
      </c>
      <c r="M919" s="34">
        <v>30</v>
      </c>
      <c r="N919" s="26"/>
    </row>
    <row r="920" spans="1:14">
      <c r="A920" s="26">
        <v>540302</v>
      </c>
      <c r="B920" s="27" t="s">
        <v>784</v>
      </c>
      <c r="C920" s="26" t="s">
        <v>165</v>
      </c>
      <c r="D920" s="27" t="s">
        <v>130</v>
      </c>
      <c r="G920" s="28">
        <v>30</v>
      </c>
      <c r="H920" s="26">
        <v>0</v>
      </c>
      <c r="I920" s="26">
        <v>27</v>
      </c>
      <c r="J920" s="36">
        <v>1</v>
      </c>
      <c r="K920" s="34">
        <v>2014</v>
      </c>
      <c r="L920" s="34">
        <v>8</v>
      </c>
      <c r="M920" s="34">
        <v>30</v>
      </c>
      <c r="N920" s="26"/>
    </row>
    <row r="921" spans="1:14">
      <c r="A921" s="26">
        <v>540303</v>
      </c>
      <c r="B921" s="27" t="s">
        <v>784</v>
      </c>
      <c r="C921" s="26" t="s">
        <v>165</v>
      </c>
      <c r="D921" s="27" t="s">
        <v>131</v>
      </c>
      <c r="G921" s="28">
        <v>6</v>
      </c>
      <c r="H921" s="26">
        <v>0</v>
      </c>
      <c r="I921" s="26">
        <v>27</v>
      </c>
      <c r="J921" s="36">
        <v>1</v>
      </c>
      <c r="K921" s="34">
        <v>2014</v>
      </c>
      <c r="L921" s="34">
        <v>8</v>
      </c>
      <c r="M921" s="34">
        <v>30</v>
      </c>
      <c r="N921" s="26"/>
    </row>
    <row r="922" spans="1:14">
      <c r="A922" s="26">
        <v>580101</v>
      </c>
      <c r="B922" s="27" t="s">
        <v>784</v>
      </c>
      <c r="C922" s="26" t="s">
        <v>183</v>
      </c>
      <c r="D922" s="27" t="s">
        <v>199</v>
      </c>
      <c r="G922" s="28">
        <v>160</v>
      </c>
      <c r="H922" s="26">
        <v>0</v>
      </c>
      <c r="I922" s="26">
        <v>27</v>
      </c>
      <c r="J922" s="36">
        <v>1</v>
      </c>
      <c r="K922" s="34">
        <v>2014</v>
      </c>
      <c r="L922" s="34">
        <v>8</v>
      </c>
      <c r="M922" s="34">
        <v>30</v>
      </c>
      <c r="N922" s="26"/>
    </row>
    <row r="923" spans="1:14">
      <c r="A923" s="26">
        <v>222102</v>
      </c>
      <c r="B923" s="27" t="s">
        <v>784</v>
      </c>
      <c r="C923" s="26" t="s">
        <v>126</v>
      </c>
      <c r="D923" s="27" t="s">
        <v>128</v>
      </c>
      <c r="G923" s="28">
        <v>0</v>
      </c>
      <c r="H923" s="26">
        <v>600</v>
      </c>
      <c r="I923" s="26">
        <v>27</v>
      </c>
      <c r="J923" s="36">
        <v>1</v>
      </c>
      <c r="K923" s="34">
        <v>2014</v>
      </c>
      <c r="L923" s="34">
        <v>8</v>
      </c>
      <c r="M923" s="34">
        <v>30</v>
      </c>
      <c r="N923" s="26"/>
    </row>
    <row r="924" spans="1:14">
      <c r="A924" s="26">
        <v>222103</v>
      </c>
      <c r="B924" s="27" t="s">
        <v>784</v>
      </c>
      <c r="C924" s="26" t="s">
        <v>126</v>
      </c>
      <c r="D924" s="27" t="s">
        <v>129</v>
      </c>
      <c r="G924" s="28">
        <v>0</v>
      </c>
      <c r="H924" s="26">
        <v>42</v>
      </c>
      <c r="I924" s="26">
        <v>27</v>
      </c>
      <c r="J924" s="36">
        <v>1</v>
      </c>
      <c r="K924" s="34">
        <v>2014</v>
      </c>
      <c r="L924" s="34">
        <v>8</v>
      </c>
      <c r="M924" s="34">
        <v>30</v>
      </c>
      <c r="N924" s="26"/>
    </row>
    <row r="925" spans="1:14">
      <c r="A925" s="26">
        <v>222104</v>
      </c>
      <c r="B925" s="27" t="s">
        <v>784</v>
      </c>
      <c r="C925" s="26" t="s">
        <v>126</v>
      </c>
      <c r="D925" s="27" t="s">
        <v>130</v>
      </c>
      <c r="G925" s="28">
        <v>0</v>
      </c>
      <c r="H925" s="26">
        <v>30</v>
      </c>
      <c r="I925" s="26">
        <v>27</v>
      </c>
      <c r="J925" s="36">
        <v>1</v>
      </c>
      <c r="K925" s="34">
        <v>2014</v>
      </c>
      <c r="L925" s="34">
        <v>8</v>
      </c>
      <c r="M925" s="34">
        <v>30</v>
      </c>
      <c r="N925" s="26"/>
    </row>
    <row r="926" spans="1:14">
      <c r="A926" s="26">
        <v>222105</v>
      </c>
      <c r="B926" s="27" t="s">
        <v>784</v>
      </c>
      <c r="C926" s="26" t="s">
        <v>126</v>
      </c>
      <c r="D926" s="27" t="s">
        <v>131</v>
      </c>
      <c r="G926" s="28">
        <v>0</v>
      </c>
      <c r="H926" s="26">
        <v>6</v>
      </c>
      <c r="I926" s="26">
        <v>27</v>
      </c>
      <c r="J926" s="36">
        <v>1</v>
      </c>
      <c r="K926" s="34">
        <v>2014</v>
      </c>
      <c r="L926" s="34">
        <v>8</v>
      </c>
      <c r="M926" s="34">
        <v>30</v>
      </c>
      <c r="N926" s="26"/>
    </row>
    <row r="927" spans="1:14">
      <c r="A927" s="26">
        <v>222106</v>
      </c>
      <c r="B927" s="27" t="s">
        <v>784</v>
      </c>
      <c r="C927" s="26" t="s">
        <v>126</v>
      </c>
      <c r="D927" s="27" t="s">
        <v>132</v>
      </c>
      <c r="G927" s="28">
        <v>0</v>
      </c>
      <c r="H927" s="26">
        <v>160</v>
      </c>
      <c r="I927" s="26">
        <v>27</v>
      </c>
      <c r="J927" s="36">
        <v>1</v>
      </c>
      <c r="K927" s="34">
        <v>2014</v>
      </c>
      <c r="L927" s="34">
        <v>8</v>
      </c>
      <c r="M927" s="34">
        <v>30</v>
      </c>
      <c r="N927" s="26"/>
    </row>
    <row r="928" spans="1:14">
      <c r="A928" s="26">
        <v>222102</v>
      </c>
      <c r="B928" s="27" t="s">
        <v>785</v>
      </c>
      <c r="C928" s="26" t="s">
        <v>126</v>
      </c>
      <c r="D928" s="27" t="s">
        <v>128</v>
      </c>
      <c r="G928" s="28">
        <v>600</v>
      </c>
      <c r="H928" s="26">
        <v>0</v>
      </c>
      <c r="I928" s="26">
        <v>28</v>
      </c>
      <c r="J928" s="36">
        <v>0</v>
      </c>
      <c r="K928" s="34">
        <v>2014</v>
      </c>
      <c r="L928" s="34">
        <v>8</v>
      </c>
      <c r="M928" s="34">
        <v>30</v>
      </c>
      <c r="N928" s="26"/>
    </row>
    <row r="929" spans="1:14">
      <c r="A929" s="26">
        <v>222103</v>
      </c>
      <c r="B929" s="27" t="s">
        <v>785</v>
      </c>
      <c r="C929" s="26" t="s">
        <v>126</v>
      </c>
      <c r="D929" s="27" t="s">
        <v>129</v>
      </c>
      <c r="G929" s="28">
        <v>42</v>
      </c>
      <c r="H929" s="26">
        <v>0</v>
      </c>
      <c r="I929" s="26">
        <v>28</v>
      </c>
      <c r="J929" s="36">
        <v>0</v>
      </c>
      <c r="K929" s="34">
        <v>2014</v>
      </c>
      <c r="L929" s="34">
        <v>8</v>
      </c>
      <c r="M929" s="34">
        <v>30</v>
      </c>
      <c r="N929" s="26"/>
    </row>
    <row r="930" spans="1:14">
      <c r="A930" s="26">
        <v>222104</v>
      </c>
      <c r="B930" s="27" t="s">
        <v>785</v>
      </c>
      <c r="C930" s="26" t="s">
        <v>126</v>
      </c>
      <c r="D930" s="27" t="s">
        <v>130</v>
      </c>
      <c r="G930" s="28">
        <v>30</v>
      </c>
      <c r="H930" s="26">
        <v>0</v>
      </c>
      <c r="I930" s="26">
        <v>28</v>
      </c>
      <c r="J930" s="36">
        <v>0</v>
      </c>
      <c r="K930" s="34">
        <v>2014</v>
      </c>
      <c r="L930" s="34">
        <v>8</v>
      </c>
      <c r="M930" s="34">
        <v>30</v>
      </c>
      <c r="N930" s="26"/>
    </row>
    <row r="931" spans="1:14">
      <c r="A931" s="26">
        <v>222105</v>
      </c>
      <c r="B931" s="27" t="s">
        <v>785</v>
      </c>
      <c r="C931" s="26" t="s">
        <v>126</v>
      </c>
      <c r="D931" s="27" t="s">
        <v>131</v>
      </c>
      <c r="G931" s="28">
        <v>6</v>
      </c>
      <c r="H931" s="26">
        <v>0</v>
      </c>
      <c r="I931" s="26">
        <v>28</v>
      </c>
      <c r="J931" s="36">
        <v>0</v>
      </c>
      <c r="K931" s="34">
        <v>2014</v>
      </c>
      <c r="L931" s="34">
        <v>8</v>
      </c>
      <c r="M931" s="34">
        <v>30</v>
      </c>
      <c r="N931" s="26"/>
    </row>
    <row r="932" spans="1:14">
      <c r="A932" s="26">
        <v>222106</v>
      </c>
      <c r="B932" s="27" t="s">
        <v>785</v>
      </c>
      <c r="C932" s="26" t="s">
        <v>126</v>
      </c>
      <c r="D932" s="27" t="s">
        <v>132</v>
      </c>
      <c r="G932" s="28">
        <v>160</v>
      </c>
      <c r="H932" s="26">
        <v>0</v>
      </c>
      <c r="I932" s="26">
        <v>28</v>
      </c>
      <c r="J932" s="36">
        <v>0</v>
      </c>
      <c r="K932" s="34">
        <v>2014</v>
      </c>
      <c r="L932" s="34">
        <v>8</v>
      </c>
      <c r="M932" s="34">
        <v>30</v>
      </c>
      <c r="N932" s="26"/>
    </row>
    <row r="933" spans="1:14">
      <c r="A933" s="26">
        <v>100101</v>
      </c>
      <c r="B933" s="27" t="s">
        <v>785</v>
      </c>
      <c r="C933" s="26" t="s">
        <v>46</v>
      </c>
      <c r="D933" s="27" t="s">
        <v>199</v>
      </c>
      <c r="G933" s="28">
        <v>0</v>
      </c>
      <c r="H933" s="26">
        <v>838</v>
      </c>
      <c r="I933" s="26">
        <v>28</v>
      </c>
      <c r="J933" s="36">
        <v>0</v>
      </c>
      <c r="K933" s="34">
        <v>2014</v>
      </c>
      <c r="L933" s="34">
        <v>8</v>
      </c>
      <c r="M933" s="34">
        <v>30</v>
      </c>
      <c r="N933" s="26"/>
    </row>
    <row r="934" spans="1:14">
      <c r="A934" s="26">
        <v>560206</v>
      </c>
      <c r="B934" s="27" t="s">
        <v>786</v>
      </c>
      <c r="C934" s="26" t="s">
        <v>166</v>
      </c>
      <c r="D934" s="27" t="s">
        <v>172</v>
      </c>
      <c r="G934" s="28">
        <v>20</v>
      </c>
      <c r="H934" s="26">
        <v>0</v>
      </c>
      <c r="I934" s="26">
        <v>29</v>
      </c>
      <c r="J934" s="36">
        <v>1</v>
      </c>
      <c r="K934" s="34">
        <v>2014</v>
      </c>
      <c r="L934" s="34">
        <v>8</v>
      </c>
      <c r="M934" s="34">
        <v>30</v>
      </c>
      <c r="N934" s="26"/>
    </row>
    <row r="935" spans="1:14">
      <c r="A935" s="26">
        <v>222103</v>
      </c>
      <c r="B935" s="27" t="s">
        <v>786</v>
      </c>
      <c r="C935" s="26" t="s">
        <v>126</v>
      </c>
      <c r="D935" s="27" t="s">
        <v>129</v>
      </c>
      <c r="G935" s="28">
        <v>0</v>
      </c>
      <c r="H935" s="26">
        <v>20</v>
      </c>
      <c r="I935" s="26">
        <v>29</v>
      </c>
      <c r="J935" s="36">
        <v>1</v>
      </c>
      <c r="K935" s="34">
        <v>2014</v>
      </c>
      <c r="L935" s="34">
        <v>8</v>
      </c>
      <c r="M935" s="34">
        <v>30</v>
      </c>
      <c r="N935" s="26"/>
    </row>
    <row r="936" spans="1:14">
      <c r="A936" s="26">
        <v>222103</v>
      </c>
      <c r="B936" s="27" t="s">
        <v>786</v>
      </c>
      <c r="C936" s="26" t="s">
        <v>126</v>
      </c>
      <c r="D936" s="27" t="s">
        <v>129</v>
      </c>
      <c r="G936" s="28">
        <v>20</v>
      </c>
      <c r="H936" s="26">
        <v>0</v>
      </c>
      <c r="I936" s="26">
        <v>29</v>
      </c>
      <c r="J936" s="36">
        <v>1</v>
      </c>
      <c r="K936" s="34">
        <v>2014</v>
      </c>
      <c r="L936" s="34">
        <v>8</v>
      </c>
      <c r="M936" s="34">
        <v>30</v>
      </c>
      <c r="N936" s="26"/>
    </row>
    <row r="937" spans="1:14">
      <c r="A937" s="26">
        <v>100101</v>
      </c>
      <c r="B937" s="27" t="s">
        <v>786</v>
      </c>
      <c r="C937" s="26" t="s">
        <v>46</v>
      </c>
      <c r="D937" s="27" t="s">
        <v>199</v>
      </c>
      <c r="G937" s="28">
        <v>0</v>
      </c>
      <c r="H937" s="26">
        <v>20</v>
      </c>
      <c r="I937" s="26">
        <v>29</v>
      </c>
      <c r="J937" s="36">
        <v>1</v>
      </c>
      <c r="K937" s="34">
        <v>2014</v>
      </c>
      <c r="L937" s="34">
        <v>8</v>
      </c>
      <c r="M937" s="34">
        <v>30</v>
      </c>
      <c r="N937" s="26"/>
    </row>
    <row r="938" spans="1:14">
      <c r="A938" s="26">
        <v>540101</v>
      </c>
      <c r="B938" s="27" t="s">
        <v>787</v>
      </c>
      <c r="C938" s="26" t="s">
        <v>161</v>
      </c>
      <c r="D938" s="27" t="s">
        <v>162</v>
      </c>
      <c r="G938" s="28">
        <v>439.09</v>
      </c>
      <c r="H938" s="26">
        <v>0</v>
      </c>
      <c r="I938" s="26">
        <v>30</v>
      </c>
      <c r="J938" s="36">
        <v>0</v>
      </c>
      <c r="K938" s="34">
        <v>2014</v>
      </c>
      <c r="L938" s="34">
        <v>8</v>
      </c>
      <c r="M938" s="34">
        <v>30</v>
      </c>
      <c r="N938" s="26"/>
    </row>
    <row r="939" spans="1:14">
      <c r="A939" s="26">
        <v>140501</v>
      </c>
      <c r="B939" s="27" t="s">
        <v>787</v>
      </c>
      <c r="C939" s="26" t="s">
        <v>89</v>
      </c>
      <c r="D939" s="27" t="s">
        <v>199</v>
      </c>
      <c r="G939" s="28">
        <v>0</v>
      </c>
      <c r="H939" s="26">
        <v>439.09</v>
      </c>
      <c r="I939" s="26">
        <v>30</v>
      </c>
      <c r="J939" s="36">
        <v>0</v>
      </c>
      <c r="K939" s="34">
        <v>2014</v>
      </c>
      <c r="L939" s="34">
        <v>8</v>
      </c>
      <c r="M939" s="34">
        <v>30</v>
      </c>
      <c r="N939" s="26"/>
    </row>
    <row r="940" spans="1:14">
      <c r="A940" s="26">
        <v>500101</v>
      </c>
      <c r="B940" s="27" t="s">
        <v>788</v>
      </c>
      <c r="C940" s="26" t="s">
        <v>157</v>
      </c>
      <c r="D940" s="27" t="s">
        <v>158</v>
      </c>
      <c r="G940" s="28">
        <v>0</v>
      </c>
      <c r="H940" s="26">
        <v>1068.38</v>
      </c>
      <c r="I940" s="26">
        <v>31</v>
      </c>
      <c r="J940" s="36">
        <v>1</v>
      </c>
      <c r="K940" s="34">
        <v>2014</v>
      </c>
      <c r="L940" s="34">
        <v>8</v>
      </c>
      <c r="M940" s="34">
        <v>30</v>
      </c>
      <c r="N940" s="26"/>
    </row>
    <row r="941" spans="1:14">
      <c r="A941" s="26">
        <v>222125</v>
      </c>
      <c r="B941" s="27" t="s">
        <v>788</v>
      </c>
      <c r="C941" s="26" t="s">
        <v>126</v>
      </c>
      <c r="D941" s="27" t="s">
        <v>136</v>
      </c>
      <c r="G941" s="28">
        <v>0</v>
      </c>
      <c r="H941" s="26">
        <v>181.62</v>
      </c>
      <c r="I941" s="26">
        <v>31</v>
      </c>
      <c r="J941" s="36">
        <v>1</v>
      </c>
      <c r="K941" s="34">
        <v>2014</v>
      </c>
      <c r="L941" s="34">
        <v>8</v>
      </c>
      <c r="M941" s="34">
        <v>30</v>
      </c>
      <c r="N941" s="26"/>
    </row>
    <row r="942" spans="1:14">
      <c r="A942" s="26">
        <v>112205</v>
      </c>
      <c r="B942" s="27" t="s">
        <v>788</v>
      </c>
      <c r="C942" s="26" t="s">
        <v>49</v>
      </c>
      <c r="D942" s="27" t="s">
        <v>366</v>
      </c>
      <c r="G942" s="28">
        <v>1250</v>
      </c>
      <c r="H942" s="26">
        <v>0</v>
      </c>
      <c r="I942" s="26">
        <v>31</v>
      </c>
      <c r="J942" s="36">
        <v>1</v>
      </c>
      <c r="K942" s="34">
        <v>2014</v>
      </c>
      <c r="L942" s="34">
        <v>8</v>
      </c>
      <c r="M942" s="34">
        <v>30</v>
      </c>
      <c r="N942" s="26"/>
    </row>
    <row r="943" spans="1:14">
      <c r="A943" s="26">
        <v>100201</v>
      </c>
      <c r="B943" s="27" t="s">
        <v>789</v>
      </c>
      <c r="C943" s="26" t="s">
        <v>47</v>
      </c>
      <c r="D943" s="27" t="s">
        <v>48</v>
      </c>
      <c r="G943" s="28">
        <v>0</v>
      </c>
      <c r="H943" s="26">
        <v>2792.79</v>
      </c>
      <c r="I943" s="26">
        <v>32</v>
      </c>
      <c r="J943" s="36">
        <v>2</v>
      </c>
      <c r="K943" s="34">
        <v>2014</v>
      </c>
      <c r="L943" s="34">
        <v>8</v>
      </c>
      <c r="M943" s="34">
        <v>30</v>
      </c>
      <c r="N943" s="26"/>
    </row>
    <row r="944" spans="1:14">
      <c r="A944" s="26">
        <v>221104</v>
      </c>
      <c r="B944" s="27" t="s">
        <v>789</v>
      </c>
      <c r="C944" s="26" t="s">
        <v>113</v>
      </c>
      <c r="D944" s="27" t="s">
        <v>117</v>
      </c>
      <c r="G944" s="28">
        <v>2792.79</v>
      </c>
      <c r="H944" s="26">
        <v>0</v>
      </c>
      <c r="I944" s="26">
        <v>32</v>
      </c>
      <c r="J944" s="36">
        <v>2</v>
      </c>
      <c r="K944" s="34">
        <v>2014</v>
      </c>
      <c r="L944" s="34">
        <v>8</v>
      </c>
      <c r="M944" s="34">
        <v>30</v>
      </c>
      <c r="N944" s="26"/>
    </row>
    <row r="945" spans="1:14">
      <c r="A945" s="26">
        <v>222105</v>
      </c>
      <c r="B945" s="27" t="s">
        <v>790</v>
      </c>
      <c r="C945" s="26" t="s">
        <v>126</v>
      </c>
      <c r="D945" s="27" t="s">
        <v>131</v>
      </c>
      <c r="G945" s="28">
        <v>13.6</v>
      </c>
      <c r="H945" s="26">
        <v>0</v>
      </c>
      <c r="I945" s="26">
        <v>33</v>
      </c>
      <c r="J945" s="36">
        <v>1</v>
      </c>
      <c r="K945" s="34">
        <v>2014</v>
      </c>
      <c r="L945" s="34">
        <v>8</v>
      </c>
      <c r="M945" s="34">
        <v>30</v>
      </c>
      <c r="N945" s="26"/>
    </row>
    <row r="946" spans="1:14">
      <c r="A946" s="26">
        <v>100201</v>
      </c>
      <c r="B946" s="27" t="s">
        <v>790</v>
      </c>
      <c r="C946" s="26" t="s">
        <v>47</v>
      </c>
      <c r="D946" s="27" t="s">
        <v>48</v>
      </c>
      <c r="G946" s="28">
        <v>0</v>
      </c>
      <c r="H946" s="26">
        <v>13.6</v>
      </c>
      <c r="I946" s="26">
        <v>33</v>
      </c>
      <c r="J946" s="36">
        <v>1</v>
      </c>
      <c r="K946" s="34">
        <v>2014</v>
      </c>
      <c r="L946" s="34">
        <v>8</v>
      </c>
      <c r="M946" s="34">
        <v>30</v>
      </c>
      <c r="N946" s="26"/>
    </row>
    <row r="947" spans="1:14">
      <c r="A947" s="26">
        <v>560301</v>
      </c>
      <c r="B947" s="27" t="s">
        <v>178</v>
      </c>
      <c r="C947" s="26" t="s">
        <v>177</v>
      </c>
      <c r="D947" s="27" t="s">
        <v>199</v>
      </c>
      <c r="G947" s="28">
        <v>25</v>
      </c>
      <c r="H947" s="26">
        <v>0</v>
      </c>
      <c r="I947" s="26">
        <v>34</v>
      </c>
      <c r="J947" s="36">
        <v>3</v>
      </c>
      <c r="K947" s="34">
        <v>2014</v>
      </c>
      <c r="L947" s="34">
        <v>8</v>
      </c>
      <c r="M947" s="34">
        <v>30</v>
      </c>
      <c r="N947" s="26"/>
    </row>
    <row r="948" spans="1:14">
      <c r="A948" s="26">
        <v>100201</v>
      </c>
      <c r="B948" s="27" t="s">
        <v>791</v>
      </c>
      <c r="C948" s="26" t="s">
        <v>47</v>
      </c>
      <c r="D948" s="27" t="s">
        <v>48</v>
      </c>
      <c r="G948" s="28">
        <v>0</v>
      </c>
      <c r="H948" s="26">
        <v>5</v>
      </c>
      <c r="I948" s="26">
        <v>34</v>
      </c>
      <c r="J948" s="36">
        <v>3</v>
      </c>
      <c r="K948" s="34">
        <v>2014</v>
      </c>
      <c r="L948" s="34">
        <v>8</v>
      </c>
      <c r="M948" s="34">
        <v>30</v>
      </c>
      <c r="N948" s="26"/>
    </row>
    <row r="949" spans="1:14">
      <c r="A949" s="26">
        <v>100201</v>
      </c>
      <c r="B949" s="27" t="s">
        <v>792</v>
      </c>
      <c r="C949" s="26" t="s">
        <v>47</v>
      </c>
      <c r="D949" s="27" t="s">
        <v>48</v>
      </c>
      <c r="G949" s="28">
        <v>0</v>
      </c>
      <c r="H949" s="26">
        <v>5</v>
      </c>
      <c r="I949" s="26">
        <v>34</v>
      </c>
      <c r="J949" s="36">
        <v>3</v>
      </c>
      <c r="K949" s="34">
        <v>2014</v>
      </c>
      <c r="L949" s="34">
        <v>8</v>
      </c>
      <c r="M949" s="34">
        <v>30</v>
      </c>
      <c r="N949" s="26"/>
    </row>
    <row r="950" spans="1:14">
      <c r="A950" s="26">
        <v>100201</v>
      </c>
      <c r="B950" s="27" t="s">
        <v>793</v>
      </c>
      <c r="C950" s="26" t="s">
        <v>47</v>
      </c>
      <c r="D950" s="27" t="s">
        <v>48</v>
      </c>
      <c r="G950" s="28">
        <v>0</v>
      </c>
      <c r="H950" s="26">
        <v>15</v>
      </c>
      <c r="I950" s="26">
        <v>34</v>
      </c>
      <c r="J950" s="36">
        <v>3</v>
      </c>
      <c r="K950" s="34">
        <v>2014</v>
      </c>
      <c r="L950" s="34">
        <v>8</v>
      </c>
      <c r="M950" s="34">
        <v>30</v>
      </c>
      <c r="N950" s="26"/>
    </row>
    <row r="951" spans="1:14">
      <c r="A951" s="26">
        <v>100201</v>
      </c>
      <c r="B951" s="27" t="s">
        <v>794</v>
      </c>
      <c r="C951" s="26" t="s">
        <v>47</v>
      </c>
      <c r="D951" s="27" t="s">
        <v>48</v>
      </c>
      <c r="G951" s="28">
        <v>0</v>
      </c>
      <c r="H951" s="26">
        <v>50</v>
      </c>
      <c r="I951" s="26">
        <v>35</v>
      </c>
      <c r="J951" s="36">
        <v>4</v>
      </c>
      <c r="K951" s="34">
        <v>2014</v>
      </c>
      <c r="L951" s="34">
        <v>8</v>
      </c>
      <c r="M951" s="34">
        <v>30</v>
      </c>
      <c r="N951" s="26"/>
    </row>
    <row r="952" spans="1:14">
      <c r="A952" s="26">
        <v>100201</v>
      </c>
      <c r="B952" s="27" t="s">
        <v>795</v>
      </c>
      <c r="C952" s="26" t="s">
        <v>47</v>
      </c>
      <c r="D952" s="27" t="s">
        <v>48</v>
      </c>
      <c r="G952" s="28">
        <v>0</v>
      </c>
      <c r="H952" s="26">
        <v>110</v>
      </c>
      <c r="I952" s="26">
        <v>35</v>
      </c>
      <c r="J952" s="36">
        <v>4</v>
      </c>
      <c r="K952" s="34">
        <v>2014</v>
      </c>
      <c r="L952" s="34">
        <v>8</v>
      </c>
      <c r="M952" s="34">
        <v>30</v>
      </c>
      <c r="N952" s="26"/>
    </row>
    <row r="953" spans="1:14">
      <c r="A953" s="26">
        <v>100201</v>
      </c>
      <c r="B953" s="27" t="s">
        <v>795</v>
      </c>
      <c r="C953" s="26" t="s">
        <v>47</v>
      </c>
      <c r="D953" s="27" t="s">
        <v>48</v>
      </c>
      <c r="G953" s="28">
        <v>0</v>
      </c>
      <c r="H953" s="26">
        <v>300</v>
      </c>
      <c r="I953" s="26">
        <v>35</v>
      </c>
      <c r="J953" s="36">
        <v>4</v>
      </c>
      <c r="K953" s="34">
        <v>2014</v>
      </c>
      <c r="L953" s="34">
        <v>8</v>
      </c>
      <c r="M953" s="34">
        <v>30</v>
      </c>
      <c r="N953" s="26"/>
    </row>
    <row r="954" spans="1:14">
      <c r="A954" s="26">
        <v>100101</v>
      </c>
      <c r="B954" s="27" t="s">
        <v>796</v>
      </c>
      <c r="C954" s="26" t="s">
        <v>46</v>
      </c>
      <c r="D954" s="27" t="s">
        <v>199</v>
      </c>
      <c r="G954" s="28">
        <v>460</v>
      </c>
      <c r="H954" s="26">
        <v>0</v>
      </c>
      <c r="I954" s="26">
        <v>35</v>
      </c>
      <c r="J954" s="36">
        <v>4</v>
      </c>
      <c r="K954" s="34">
        <v>2014</v>
      </c>
      <c r="L954" s="34">
        <v>8</v>
      </c>
      <c r="M954" s="34">
        <v>30</v>
      </c>
      <c r="N954" s="26"/>
    </row>
    <row r="955" spans="1:14">
      <c r="A955" s="26">
        <v>100201</v>
      </c>
      <c r="B955" s="27" t="s">
        <v>797</v>
      </c>
      <c r="C955" s="26" t="s">
        <v>47</v>
      </c>
      <c r="D955" s="27" t="s">
        <v>48</v>
      </c>
      <c r="G955" s="28">
        <v>0</v>
      </c>
      <c r="H955" s="26">
        <v>15000</v>
      </c>
      <c r="I955" s="26">
        <v>36</v>
      </c>
      <c r="J955" s="36">
        <v>1</v>
      </c>
      <c r="K955" s="34">
        <v>2014</v>
      </c>
      <c r="L955" s="34">
        <v>8</v>
      </c>
      <c r="M955" s="34">
        <v>30</v>
      </c>
      <c r="N955" s="26"/>
    </row>
    <row r="956" spans="1:14">
      <c r="A956" s="26">
        <v>112315</v>
      </c>
      <c r="B956" s="27" t="s">
        <v>797</v>
      </c>
      <c r="C956" s="26" t="s">
        <v>64</v>
      </c>
      <c r="D956" s="27" t="s">
        <v>74</v>
      </c>
      <c r="G956" s="28">
        <v>15000</v>
      </c>
      <c r="H956" s="26">
        <v>0</v>
      </c>
      <c r="I956" s="26">
        <v>36</v>
      </c>
      <c r="J956" s="36">
        <v>1</v>
      </c>
      <c r="K956" s="34">
        <v>2014</v>
      </c>
      <c r="L956" s="34">
        <v>8</v>
      </c>
      <c r="M956" s="34">
        <v>30</v>
      </c>
      <c r="N956" s="26"/>
    </row>
    <row r="957" spans="1:14">
      <c r="A957" s="26">
        <v>100201</v>
      </c>
      <c r="B957" s="27" t="s">
        <v>798</v>
      </c>
      <c r="C957" s="26" t="s">
        <v>47</v>
      </c>
      <c r="D957" s="27" t="s">
        <v>48</v>
      </c>
      <c r="G957" s="28">
        <v>15000</v>
      </c>
      <c r="H957" s="26">
        <v>0</v>
      </c>
      <c r="I957" s="26">
        <v>37</v>
      </c>
      <c r="J957" s="36">
        <v>2</v>
      </c>
      <c r="K957" s="34">
        <v>2014</v>
      </c>
      <c r="L957" s="34">
        <v>8</v>
      </c>
      <c r="M957" s="34">
        <v>30</v>
      </c>
      <c r="N957" s="26"/>
    </row>
    <row r="958" spans="1:14">
      <c r="A958" s="26">
        <v>224101</v>
      </c>
      <c r="B958" s="27" t="s">
        <v>799</v>
      </c>
      <c r="C958" s="26" t="s">
        <v>140</v>
      </c>
      <c r="D958" s="27" t="s">
        <v>12</v>
      </c>
      <c r="G958" s="28">
        <v>0</v>
      </c>
      <c r="H958" s="26">
        <v>15000</v>
      </c>
      <c r="I958" s="26">
        <v>37</v>
      </c>
      <c r="J958" s="36">
        <v>2</v>
      </c>
      <c r="K958" s="34">
        <v>2014</v>
      </c>
      <c r="L958" s="34">
        <v>8</v>
      </c>
      <c r="M958" s="34">
        <v>30</v>
      </c>
      <c r="N958" s="26"/>
    </row>
    <row r="959" spans="1:14">
      <c r="A959" s="26">
        <v>100201</v>
      </c>
      <c r="B959" s="27" t="s">
        <v>800</v>
      </c>
      <c r="C959" s="26" t="s">
        <v>47</v>
      </c>
      <c r="D959" s="27" t="s">
        <v>48</v>
      </c>
      <c r="G959" s="28">
        <v>0</v>
      </c>
      <c r="H959" s="26">
        <v>5860</v>
      </c>
      <c r="I959" s="26">
        <v>38</v>
      </c>
      <c r="J959" s="36">
        <v>1</v>
      </c>
      <c r="K959" s="34">
        <v>2014</v>
      </c>
      <c r="L959" s="34">
        <v>8</v>
      </c>
      <c r="M959" s="34">
        <v>30</v>
      </c>
      <c r="N959" s="26"/>
    </row>
    <row r="960" spans="1:14">
      <c r="A960" s="26">
        <v>122105</v>
      </c>
      <c r="B960" s="27" t="s">
        <v>800</v>
      </c>
      <c r="C960" s="26" t="s">
        <v>78</v>
      </c>
      <c r="D960" s="27" t="s">
        <v>83</v>
      </c>
      <c r="G960" s="28">
        <v>5860</v>
      </c>
      <c r="H960" s="26">
        <v>0</v>
      </c>
      <c r="I960" s="26">
        <v>38</v>
      </c>
      <c r="J960" s="36">
        <v>1</v>
      </c>
      <c r="K960" s="34">
        <v>2014</v>
      </c>
      <c r="L960" s="34">
        <v>8</v>
      </c>
      <c r="M960" s="34">
        <v>30</v>
      </c>
      <c r="N960" s="26"/>
    </row>
    <row r="961" spans="1:14">
      <c r="A961" s="26">
        <v>100201</v>
      </c>
      <c r="B961" s="27" t="s">
        <v>801</v>
      </c>
      <c r="C961" s="26" t="s">
        <v>47</v>
      </c>
      <c r="D961" s="27" t="s">
        <v>48</v>
      </c>
      <c r="G961" s="28">
        <v>0</v>
      </c>
      <c r="H961" s="26">
        <v>10</v>
      </c>
      <c r="I961" s="26">
        <v>39</v>
      </c>
      <c r="J961" s="36">
        <v>1</v>
      </c>
      <c r="K961" s="34">
        <v>2014</v>
      </c>
      <c r="L961" s="34">
        <v>8</v>
      </c>
      <c r="M961" s="34">
        <v>30</v>
      </c>
      <c r="N961" s="26"/>
    </row>
    <row r="962" spans="1:14">
      <c r="A962" s="26">
        <v>560301</v>
      </c>
      <c r="B962" s="27" t="s">
        <v>801</v>
      </c>
      <c r="C962" s="26" t="s">
        <v>177</v>
      </c>
      <c r="D962" s="27" t="s">
        <v>199</v>
      </c>
      <c r="G962" s="28">
        <v>10</v>
      </c>
      <c r="H962" s="26">
        <v>0</v>
      </c>
      <c r="I962" s="26">
        <v>39</v>
      </c>
      <c r="J962" s="36">
        <v>1</v>
      </c>
      <c r="K962" s="34">
        <v>2014</v>
      </c>
      <c r="L962" s="34">
        <v>8</v>
      </c>
      <c r="M962" s="34">
        <v>30</v>
      </c>
      <c r="N962" s="26"/>
    </row>
    <row r="963" spans="1:14">
      <c r="A963" s="26">
        <v>100201</v>
      </c>
      <c r="B963" s="27" t="s">
        <v>802</v>
      </c>
      <c r="C963" s="26" t="s">
        <v>47</v>
      </c>
      <c r="D963" s="27" t="s">
        <v>48</v>
      </c>
      <c r="G963" s="28">
        <v>1800</v>
      </c>
      <c r="H963" s="26">
        <v>0</v>
      </c>
      <c r="I963" s="26">
        <v>40</v>
      </c>
      <c r="J963" s="36">
        <v>1</v>
      </c>
      <c r="K963" s="34">
        <v>2014</v>
      </c>
      <c r="L963" s="34">
        <v>8</v>
      </c>
      <c r="M963" s="34">
        <v>30</v>
      </c>
      <c r="N963" s="26"/>
    </row>
    <row r="964" spans="1:14">
      <c r="A964" s="26">
        <v>112204</v>
      </c>
      <c r="B964" s="27" t="s">
        <v>803</v>
      </c>
      <c r="C964" s="26" t="s">
        <v>49</v>
      </c>
      <c r="D964" s="27" t="s">
        <v>255</v>
      </c>
      <c r="G964" s="28">
        <v>0</v>
      </c>
      <c r="H964" s="26">
        <v>1800</v>
      </c>
      <c r="I964" s="26">
        <v>40</v>
      </c>
      <c r="J964" s="36">
        <v>1</v>
      </c>
      <c r="K964" s="34">
        <v>2014</v>
      </c>
      <c r="L964" s="34">
        <v>8</v>
      </c>
      <c r="M964" s="34">
        <v>30</v>
      </c>
      <c r="N964" s="26"/>
    </row>
    <row r="965" spans="1:14">
      <c r="A965" s="26">
        <v>100201</v>
      </c>
      <c r="B965" s="27" t="s">
        <v>804</v>
      </c>
      <c r="C965" s="26" t="s">
        <v>47</v>
      </c>
      <c r="D965" s="27" t="s">
        <v>48</v>
      </c>
      <c r="G965" s="28">
        <v>0</v>
      </c>
      <c r="H965" s="26">
        <v>340</v>
      </c>
      <c r="I965" s="26">
        <v>41</v>
      </c>
      <c r="J965" s="36">
        <v>1</v>
      </c>
      <c r="K965" s="34">
        <v>2014</v>
      </c>
      <c r="L965" s="34">
        <v>8</v>
      </c>
      <c r="M965" s="34">
        <v>30</v>
      </c>
      <c r="N965" s="26"/>
    </row>
    <row r="966" spans="1:14">
      <c r="A966" s="26">
        <v>122105</v>
      </c>
      <c r="B966" s="27" t="s">
        <v>804</v>
      </c>
      <c r="C966" s="26" t="s">
        <v>78</v>
      </c>
      <c r="D966" s="27" t="s">
        <v>83</v>
      </c>
      <c r="G966" s="28">
        <v>340</v>
      </c>
      <c r="H966" s="26">
        <v>0</v>
      </c>
      <c r="I966" s="26">
        <v>41</v>
      </c>
      <c r="J966" s="36">
        <v>1</v>
      </c>
      <c r="K966" s="34">
        <v>2014</v>
      </c>
      <c r="L966" s="34">
        <v>8</v>
      </c>
      <c r="M966" s="34">
        <v>30</v>
      </c>
      <c r="N966" s="26"/>
    </row>
    <row r="967" spans="1:14">
      <c r="A967" s="26">
        <v>540304</v>
      </c>
      <c r="B967" s="27" t="s">
        <v>805</v>
      </c>
      <c r="C967" s="26" t="s">
        <v>165</v>
      </c>
      <c r="D967" s="27" t="s">
        <v>128</v>
      </c>
      <c r="G967" s="28">
        <v>605</v>
      </c>
      <c r="H967" s="26">
        <v>0</v>
      </c>
      <c r="I967" s="26">
        <v>42</v>
      </c>
      <c r="J967" s="36">
        <v>1</v>
      </c>
      <c r="K967" s="34">
        <v>2014</v>
      </c>
      <c r="L967" s="34">
        <v>8</v>
      </c>
      <c r="M967" s="34">
        <v>30</v>
      </c>
      <c r="N967" s="26"/>
    </row>
    <row r="968" spans="1:14">
      <c r="A968" s="26">
        <v>540301</v>
      </c>
      <c r="B968" s="27" t="s">
        <v>805</v>
      </c>
      <c r="C968" s="26" t="s">
        <v>165</v>
      </c>
      <c r="D968" s="27" t="s">
        <v>129</v>
      </c>
      <c r="G968" s="28">
        <v>42.35</v>
      </c>
      <c r="H968" s="26">
        <v>0</v>
      </c>
      <c r="I968" s="26">
        <v>42</v>
      </c>
      <c r="J968" s="36">
        <v>1</v>
      </c>
      <c r="K968" s="34">
        <v>2014</v>
      </c>
      <c r="L968" s="34">
        <v>8</v>
      </c>
      <c r="M968" s="34">
        <v>30</v>
      </c>
      <c r="N968" s="26"/>
    </row>
    <row r="969" spans="1:14">
      <c r="A969" s="26">
        <v>540302</v>
      </c>
      <c r="B969" s="27" t="s">
        <v>805</v>
      </c>
      <c r="C969" s="26" t="s">
        <v>165</v>
      </c>
      <c r="D969" s="27" t="s">
        <v>130</v>
      </c>
      <c r="G969" s="28">
        <v>30.25</v>
      </c>
      <c r="H969" s="26">
        <v>0</v>
      </c>
      <c r="I969" s="26">
        <v>42</v>
      </c>
      <c r="J969" s="36">
        <v>1</v>
      </c>
      <c r="K969" s="34">
        <v>2014</v>
      </c>
      <c r="L969" s="34">
        <v>8</v>
      </c>
      <c r="M969" s="34">
        <v>30</v>
      </c>
      <c r="N969" s="26"/>
    </row>
    <row r="970" spans="1:14">
      <c r="A970" s="26">
        <v>540303</v>
      </c>
      <c r="B970" s="27" t="s">
        <v>805</v>
      </c>
      <c r="C970" s="26" t="s">
        <v>165</v>
      </c>
      <c r="D970" s="27" t="s">
        <v>131</v>
      </c>
      <c r="G970" s="28">
        <v>4</v>
      </c>
      <c r="H970" s="26">
        <v>0</v>
      </c>
      <c r="I970" s="26">
        <v>42</v>
      </c>
      <c r="J970" s="36">
        <v>1</v>
      </c>
      <c r="K970" s="34">
        <v>2014</v>
      </c>
      <c r="L970" s="34">
        <v>8</v>
      </c>
      <c r="M970" s="34">
        <v>30</v>
      </c>
      <c r="N970" s="26"/>
    </row>
    <row r="971" spans="1:14">
      <c r="A971" s="26">
        <v>560206</v>
      </c>
      <c r="B971" s="27" t="s">
        <v>805</v>
      </c>
      <c r="C971" s="26" t="s">
        <v>166</v>
      </c>
      <c r="D971" s="27" t="s">
        <v>172</v>
      </c>
      <c r="G971" s="28">
        <v>13.17</v>
      </c>
      <c r="H971" s="26">
        <v>0</v>
      </c>
      <c r="I971" s="26">
        <v>42</v>
      </c>
      <c r="J971" s="36">
        <v>1</v>
      </c>
      <c r="K971" s="34">
        <v>2014</v>
      </c>
      <c r="L971" s="34">
        <v>8</v>
      </c>
      <c r="M971" s="34">
        <v>30</v>
      </c>
      <c r="N971" s="26"/>
    </row>
    <row r="972" spans="1:14">
      <c r="A972" s="26">
        <v>222102</v>
      </c>
      <c r="B972" s="27" t="s">
        <v>805</v>
      </c>
      <c r="C972" s="26" t="s">
        <v>126</v>
      </c>
      <c r="D972" s="27" t="s">
        <v>128</v>
      </c>
      <c r="G972" s="28">
        <v>0</v>
      </c>
      <c r="H972" s="26">
        <v>605</v>
      </c>
      <c r="I972" s="26">
        <v>42</v>
      </c>
      <c r="J972" s="36">
        <v>1</v>
      </c>
      <c r="K972" s="34">
        <v>2014</v>
      </c>
      <c r="L972" s="34">
        <v>8</v>
      </c>
      <c r="M972" s="34">
        <v>30</v>
      </c>
      <c r="N972" s="26"/>
    </row>
    <row r="973" spans="1:14">
      <c r="A973" s="26">
        <v>222103</v>
      </c>
      <c r="B973" s="27" t="s">
        <v>805</v>
      </c>
      <c r="C973" s="26" t="s">
        <v>126</v>
      </c>
      <c r="D973" s="27" t="s">
        <v>129</v>
      </c>
      <c r="G973" s="28">
        <v>0</v>
      </c>
      <c r="H973" s="26">
        <v>42.35</v>
      </c>
      <c r="I973" s="26">
        <v>42</v>
      </c>
      <c r="J973" s="36">
        <v>1</v>
      </c>
      <c r="K973" s="34">
        <v>2014</v>
      </c>
      <c r="L973" s="34">
        <v>8</v>
      </c>
      <c r="M973" s="34">
        <v>30</v>
      </c>
      <c r="N973" s="26"/>
    </row>
    <row r="974" spans="1:14">
      <c r="A974" s="26">
        <v>222104</v>
      </c>
      <c r="B974" s="27" t="s">
        <v>805</v>
      </c>
      <c r="C974" s="26" t="s">
        <v>126</v>
      </c>
      <c r="D974" s="27" t="s">
        <v>130</v>
      </c>
      <c r="G974" s="28">
        <v>0</v>
      </c>
      <c r="H974" s="26">
        <v>30.25</v>
      </c>
      <c r="I974" s="26">
        <v>42</v>
      </c>
      <c r="J974" s="36">
        <v>1</v>
      </c>
      <c r="K974" s="34">
        <v>2014</v>
      </c>
      <c r="L974" s="34">
        <v>8</v>
      </c>
      <c r="M974" s="34">
        <v>30</v>
      </c>
      <c r="N974" s="26"/>
    </row>
    <row r="975" spans="1:14">
      <c r="A975" s="26">
        <v>222105</v>
      </c>
      <c r="B975" s="27" t="s">
        <v>805</v>
      </c>
      <c r="C975" s="26" t="s">
        <v>126</v>
      </c>
      <c r="D975" s="27" t="s">
        <v>131</v>
      </c>
      <c r="G975" s="28">
        <v>0</v>
      </c>
      <c r="H975" s="26">
        <v>4</v>
      </c>
      <c r="I975" s="26">
        <v>42</v>
      </c>
      <c r="J975" s="36">
        <v>1</v>
      </c>
      <c r="K975" s="34">
        <v>2014</v>
      </c>
      <c r="L975" s="34">
        <v>8</v>
      </c>
      <c r="M975" s="34">
        <v>30</v>
      </c>
      <c r="N975" s="26"/>
    </row>
    <row r="976" spans="1:14">
      <c r="A976" s="26">
        <v>224104</v>
      </c>
      <c r="B976" s="27" t="s">
        <v>805</v>
      </c>
      <c r="C976" s="26" t="s">
        <v>140</v>
      </c>
      <c r="D976" s="27" t="s">
        <v>142</v>
      </c>
      <c r="G976" s="28">
        <v>0</v>
      </c>
      <c r="H976" s="26">
        <v>13.17</v>
      </c>
      <c r="I976" s="26">
        <v>42</v>
      </c>
      <c r="J976" s="36">
        <v>1</v>
      </c>
      <c r="K976" s="34">
        <v>2014</v>
      </c>
      <c r="L976" s="34">
        <v>8</v>
      </c>
      <c r="M976" s="34">
        <v>30</v>
      </c>
      <c r="N976" s="26"/>
    </row>
    <row r="977" spans="1:14">
      <c r="A977" s="26">
        <v>100201</v>
      </c>
      <c r="B977" s="27" t="s">
        <v>806</v>
      </c>
      <c r="C977" s="26" t="s">
        <v>47</v>
      </c>
      <c r="D977" s="27" t="s">
        <v>48</v>
      </c>
      <c r="G977" s="28">
        <v>500</v>
      </c>
      <c r="H977" s="26">
        <v>0</v>
      </c>
      <c r="I977" s="26">
        <v>1</v>
      </c>
      <c r="J977" s="36">
        <v>1</v>
      </c>
      <c r="K977" s="34">
        <v>2014</v>
      </c>
      <c r="L977" s="34">
        <v>9</v>
      </c>
      <c r="M977" s="34">
        <v>11</v>
      </c>
      <c r="N977" s="26"/>
    </row>
    <row r="978" spans="1:14">
      <c r="A978" s="26">
        <v>100101</v>
      </c>
      <c r="B978" s="27" t="s">
        <v>807</v>
      </c>
      <c r="C978" s="26" t="s">
        <v>46</v>
      </c>
      <c r="D978" s="27" t="s">
        <v>199</v>
      </c>
      <c r="G978" s="28">
        <v>0</v>
      </c>
      <c r="H978" s="26">
        <v>500</v>
      </c>
      <c r="I978" s="26">
        <v>1</v>
      </c>
      <c r="J978" s="36">
        <v>1</v>
      </c>
      <c r="K978" s="34">
        <v>2014</v>
      </c>
      <c r="L978" s="34">
        <v>9</v>
      </c>
      <c r="M978" s="34">
        <v>11</v>
      </c>
      <c r="N978" s="26"/>
    </row>
    <row r="979" spans="1:14">
      <c r="A979" s="26">
        <v>100101</v>
      </c>
      <c r="B979" s="27" t="s">
        <v>246</v>
      </c>
      <c r="C979" s="26" t="s">
        <v>46</v>
      </c>
      <c r="D979" s="27" t="s">
        <v>199</v>
      </c>
      <c r="G979" s="28">
        <v>14000</v>
      </c>
      <c r="H979" s="26">
        <v>0</v>
      </c>
      <c r="I979" s="26">
        <v>2</v>
      </c>
      <c r="J979" s="36">
        <v>2</v>
      </c>
      <c r="K979" s="34">
        <v>2014</v>
      </c>
      <c r="L979" s="34">
        <v>9</v>
      </c>
      <c r="M979" s="34">
        <v>11</v>
      </c>
      <c r="N979" s="26"/>
    </row>
    <row r="980" spans="1:14">
      <c r="A980" s="26">
        <v>100201</v>
      </c>
      <c r="B980" s="27" t="s">
        <v>808</v>
      </c>
      <c r="C980" s="26" t="s">
        <v>47</v>
      </c>
      <c r="D980" s="27" t="s">
        <v>48</v>
      </c>
      <c r="G980" s="28">
        <v>0</v>
      </c>
      <c r="H980" s="26">
        <v>13000</v>
      </c>
      <c r="I980" s="26">
        <v>2</v>
      </c>
      <c r="J980" s="36">
        <v>2</v>
      </c>
      <c r="K980" s="34">
        <v>2014</v>
      </c>
      <c r="L980" s="34">
        <v>9</v>
      </c>
      <c r="M980" s="34">
        <v>11</v>
      </c>
      <c r="N980" s="26"/>
    </row>
    <row r="981" spans="1:14">
      <c r="A981" s="26">
        <v>224101</v>
      </c>
      <c r="B981" s="27" t="s">
        <v>809</v>
      </c>
      <c r="C981" s="26" t="s">
        <v>140</v>
      </c>
      <c r="D981" s="27" t="s">
        <v>12</v>
      </c>
      <c r="G981" s="28">
        <v>0</v>
      </c>
      <c r="H981" s="26">
        <v>1000</v>
      </c>
      <c r="I981" s="26">
        <v>2</v>
      </c>
      <c r="J981" s="36">
        <v>2</v>
      </c>
      <c r="K981" s="34">
        <v>2014</v>
      </c>
      <c r="L981" s="34">
        <v>9</v>
      </c>
      <c r="M981" s="34">
        <v>11</v>
      </c>
      <c r="N981" s="26"/>
    </row>
    <row r="982" spans="1:14">
      <c r="A982" s="26">
        <v>112312</v>
      </c>
      <c r="B982" s="27" t="s">
        <v>542</v>
      </c>
      <c r="C982" s="26" t="s">
        <v>64</v>
      </c>
      <c r="D982" s="27" t="s">
        <v>71</v>
      </c>
      <c r="G982" s="28">
        <v>2000</v>
      </c>
      <c r="H982" s="26">
        <v>0</v>
      </c>
      <c r="I982" s="26">
        <v>3</v>
      </c>
      <c r="J982" s="36">
        <v>2</v>
      </c>
      <c r="K982" s="34">
        <v>2014</v>
      </c>
      <c r="L982" s="34">
        <v>9</v>
      </c>
      <c r="M982" s="34">
        <v>11</v>
      </c>
      <c r="N982" s="26"/>
    </row>
    <row r="983" spans="1:14">
      <c r="A983" s="26">
        <v>224101</v>
      </c>
      <c r="B983" s="27" t="s">
        <v>810</v>
      </c>
      <c r="C983" s="26" t="s">
        <v>140</v>
      </c>
      <c r="D983" s="27" t="s">
        <v>12</v>
      </c>
      <c r="G983" s="28">
        <v>0</v>
      </c>
      <c r="H983" s="26">
        <v>2000</v>
      </c>
      <c r="I983" s="26">
        <v>3</v>
      </c>
      <c r="J983" s="36">
        <v>2</v>
      </c>
      <c r="K983" s="34">
        <v>2014</v>
      </c>
      <c r="L983" s="34">
        <v>9</v>
      </c>
      <c r="M983" s="34">
        <v>11</v>
      </c>
      <c r="N983" s="26"/>
    </row>
    <row r="984" spans="1:14">
      <c r="A984" s="26">
        <v>560206</v>
      </c>
      <c r="B984" s="27" t="s">
        <v>811</v>
      </c>
      <c r="C984" s="26" t="s">
        <v>166</v>
      </c>
      <c r="D984" s="27" t="s">
        <v>172</v>
      </c>
      <c r="G984" s="28">
        <v>518</v>
      </c>
      <c r="H984" s="26">
        <v>0</v>
      </c>
      <c r="I984" s="26">
        <v>4</v>
      </c>
      <c r="J984" s="36">
        <v>3</v>
      </c>
      <c r="K984" s="34">
        <v>2014</v>
      </c>
      <c r="L984" s="34">
        <v>9</v>
      </c>
      <c r="M984" s="34">
        <v>11</v>
      </c>
      <c r="N984" s="26"/>
    </row>
    <row r="985" spans="1:14">
      <c r="A985" s="26">
        <v>560203</v>
      </c>
      <c r="B985" s="27" t="s">
        <v>243</v>
      </c>
      <c r="C985" s="26" t="s">
        <v>166</v>
      </c>
      <c r="D985" s="27" t="s">
        <v>169</v>
      </c>
      <c r="G985" s="28">
        <v>300</v>
      </c>
      <c r="H985" s="26">
        <v>0</v>
      </c>
      <c r="I985" s="26">
        <v>4</v>
      </c>
      <c r="J985" s="36">
        <v>3</v>
      </c>
      <c r="K985" s="34">
        <v>2014</v>
      </c>
      <c r="L985" s="34">
        <v>9</v>
      </c>
      <c r="M985" s="34">
        <v>11</v>
      </c>
      <c r="N985" s="26"/>
    </row>
    <row r="986" spans="1:14">
      <c r="A986" s="26">
        <v>100101</v>
      </c>
      <c r="B986" s="27" t="s">
        <v>812</v>
      </c>
      <c r="C986" s="26" t="s">
        <v>46</v>
      </c>
      <c r="D986" s="27" t="s">
        <v>199</v>
      </c>
      <c r="G986" s="28">
        <v>0</v>
      </c>
      <c r="H986" s="26">
        <v>818</v>
      </c>
      <c r="I986" s="26">
        <v>4</v>
      </c>
      <c r="J986" s="36">
        <v>3</v>
      </c>
      <c r="K986" s="34">
        <v>2014</v>
      </c>
      <c r="L986" s="34">
        <v>9</v>
      </c>
      <c r="M986" s="34">
        <v>11</v>
      </c>
      <c r="N986" s="26"/>
    </row>
    <row r="987" spans="1:14">
      <c r="A987" s="26">
        <v>221101</v>
      </c>
      <c r="B987" s="27" t="s">
        <v>813</v>
      </c>
      <c r="C987" s="26" t="s">
        <v>113</v>
      </c>
      <c r="D987" s="27" t="s">
        <v>114</v>
      </c>
      <c r="G987" s="28">
        <v>20420</v>
      </c>
      <c r="H987" s="26">
        <v>0</v>
      </c>
      <c r="I987" s="26">
        <v>5</v>
      </c>
      <c r="J987" s="36">
        <v>1</v>
      </c>
      <c r="K987" s="34">
        <v>2014</v>
      </c>
      <c r="L987" s="34">
        <v>9</v>
      </c>
      <c r="M987" s="34">
        <v>11</v>
      </c>
      <c r="N987" s="26"/>
    </row>
    <row r="988" spans="1:14">
      <c r="A988" s="26">
        <v>221104</v>
      </c>
      <c r="B988" s="27" t="s">
        <v>814</v>
      </c>
      <c r="C988" s="26" t="s">
        <v>113</v>
      </c>
      <c r="D988" s="27" t="s">
        <v>117</v>
      </c>
      <c r="G988" s="28">
        <v>0</v>
      </c>
      <c r="H988" s="26">
        <v>748.65</v>
      </c>
      <c r="I988" s="26">
        <v>5</v>
      </c>
      <c r="J988" s="36">
        <v>1</v>
      </c>
      <c r="K988" s="34">
        <v>2014</v>
      </c>
      <c r="L988" s="34">
        <v>9</v>
      </c>
      <c r="M988" s="34">
        <v>11</v>
      </c>
      <c r="N988" s="26"/>
    </row>
    <row r="989" spans="1:14">
      <c r="A989" s="26">
        <v>224101</v>
      </c>
      <c r="B989" s="27" t="s">
        <v>815</v>
      </c>
      <c r="C989" s="26" t="s">
        <v>140</v>
      </c>
      <c r="D989" s="27" t="s">
        <v>12</v>
      </c>
      <c r="G989" s="28">
        <v>0</v>
      </c>
      <c r="H989" s="26">
        <v>19671.35</v>
      </c>
      <c r="I989" s="26">
        <v>5</v>
      </c>
      <c r="J989" s="36">
        <v>1</v>
      </c>
      <c r="K989" s="34">
        <v>2014</v>
      </c>
      <c r="L989" s="34">
        <v>9</v>
      </c>
      <c r="M989" s="34">
        <v>11</v>
      </c>
      <c r="N989" s="26"/>
    </row>
    <row r="990" spans="1:14">
      <c r="A990" s="26">
        <v>100201</v>
      </c>
      <c r="B990" s="27" t="s">
        <v>816</v>
      </c>
      <c r="C990" s="26" t="s">
        <v>47</v>
      </c>
      <c r="D990" s="27" t="s">
        <v>48</v>
      </c>
      <c r="G990" s="28">
        <v>0</v>
      </c>
      <c r="H990" s="26">
        <v>1430</v>
      </c>
      <c r="I990" s="26">
        <v>6</v>
      </c>
      <c r="J990" s="36">
        <v>2</v>
      </c>
      <c r="K990" s="34">
        <v>2014</v>
      </c>
      <c r="L990" s="34">
        <v>9</v>
      </c>
      <c r="M990" s="34">
        <v>11</v>
      </c>
      <c r="N990" s="26"/>
    </row>
    <row r="991" spans="1:14">
      <c r="A991" s="26">
        <v>100101</v>
      </c>
      <c r="B991" s="27" t="s">
        <v>816</v>
      </c>
      <c r="C991" s="26" t="s">
        <v>46</v>
      </c>
      <c r="D991" s="27" t="s">
        <v>199</v>
      </c>
      <c r="G991" s="28">
        <v>1430</v>
      </c>
      <c r="H991" s="26">
        <v>0</v>
      </c>
      <c r="I991" s="26">
        <v>6</v>
      </c>
      <c r="J991" s="36">
        <v>2</v>
      </c>
      <c r="K991" s="34">
        <v>2014</v>
      </c>
      <c r="L991" s="34">
        <v>9</v>
      </c>
      <c r="M991" s="34">
        <v>11</v>
      </c>
      <c r="N991" s="26"/>
    </row>
    <row r="992" spans="1:14">
      <c r="A992" s="26">
        <v>560201</v>
      </c>
      <c r="B992" s="27" t="s">
        <v>817</v>
      </c>
      <c r="C992" s="26" t="s">
        <v>166</v>
      </c>
      <c r="D992" s="27" t="s">
        <v>167</v>
      </c>
      <c r="G992" s="28">
        <v>20420</v>
      </c>
      <c r="H992" s="26">
        <v>0</v>
      </c>
      <c r="I992" s="26">
        <v>7</v>
      </c>
      <c r="J992" s="36">
        <v>1</v>
      </c>
      <c r="K992" s="34">
        <v>2014</v>
      </c>
      <c r="L992" s="34">
        <v>9</v>
      </c>
      <c r="M992" s="34">
        <v>11</v>
      </c>
      <c r="N992" s="26"/>
    </row>
    <row r="993" spans="1:14">
      <c r="A993" s="26">
        <v>560210</v>
      </c>
      <c r="B993" s="27" t="s">
        <v>818</v>
      </c>
      <c r="C993" s="26" t="s">
        <v>166</v>
      </c>
      <c r="D993" s="27" t="s">
        <v>176</v>
      </c>
      <c r="G993" s="28">
        <v>2012.52</v>
      </c>
      <c r="H993" s="26">
        <v>0</v>
      </c>
      <c r="I993" s="26">
        <v>7</v>
      </c>
      <c r="J993" s="36">
        <v>1</v>
      </c>
      <c r="K993" s="34">
        <v>2014</v>
      </c>
      <c r="L993" s="34">
        <v>9</v>
      </c>
      <c r="M993" s="34">
        <v>11</v>
      </c>
      <c r="N993" s="26"/>
    </row>
    <row r="994" spans="1:14">
      <c r="A994" s="26">
        <v>221101</v>
      </c>
      <c r="B994" s="27" t="s">
        <v>817</v>
      </c>
      <c r="C994" s="26" t="s">
        <v>113</v>
      </c>
      <c r="D994" s="27" t="s">
        <v>114</v>
      </c>
      <c r="G994" s="28">
        <v>0</v>
      </c>
      <c r="H994" s="26">
        <v>20420</v>
      </c>
      <c r="I994" s="26">
        <v>7</v>
      </c>
      <c r="J994" s="36">
        <v>1</v>
      </c>
      <c r="K994" s="34">
        <v>2014</v>
      </c>
      <c r="L994" s="34">
        <v>9</v>
      </c>
      <c r="M994" s="34">
        <v>11</v>
      </c>
      <c r="N994" s="26"/>
    </row>
    <row r="995" spans="1:14">
      <c r="A995" s="26">
        <v>221104</v>
      </c>
      <c r="B995" s="27" t="s">
        <v>818</v>
      </c>
      <c r="C995" s="26" t="s">
        <v>113</v>
      </c>
      <c r="D995" s="27" t="s">
        <v>117</v>
      </c>
      <c r="G995" s="28">
        <v>0</v>
      </c>
      <c r="H995" s="26">
        <v>2012.52</v>
      </c>
      <c r="I995" s="26">
        <v>7</v>
      </c>
      <c r="J995" s="36">
        <v>1</v>
      </c>
      <c r="K995" s="34">
        <v>2014</v>
      </c>
      <c r="L995" s="34">
        <v>9</v>
      </c>
      <c r="M995" s="34">
        <v>11</v>
      </c>
      <c r="N995" s="26"/>
    </row>
    <row r="996" spans="1:14">
      <c r="A996" s="26">
        <v>122105</v>
      </c>
      <c r="B996" s="27" t="s">
        <v>819</v>
      </c>
      <c r="C996" s="26" t="s">
        <v>78</v>
      </c>
      <c r="D996" s="27" t="s">
        <v>83</v>
      </c>
      <c r="G996" s="28">
        <v>0</v>
      </c>
      <c r="H996" s="26">
        <v>1500</v>
      </c>
      <c r="I996" s="26">
        <v>8</v>
      </c>
      <c r="J996" s="36">
        <v>0</v>
      </c>
      <c r="K996" s="34">
        <v>2014</v>
      </c>
      <c r="L996" s="34">
        <v>9</v>
      </c>
      <c r="M996" s="34">
        <v>11</v>
      </c>
      <c r="N996" s="26"/>
    </row>
    <row r="997" spans="1:14">
      <c r="A997" s="26">
        <v>100101</v>
      </c>
      <c r="B997" s="27" t="s">
        <v>819</v>
      </c>
      <c r="C997" s="26" t="s">
        <v>46</v>
      </c>
      <c r="D997" s="27" t="s">
        <v>199</v>
      </c>
      <c r="G997" s="28">
        <v>1500</v>
      </c>
      <c r="H997" s="26">
        <v>0</v>
      </c>
      <c r="I997" s="26">
        <v>8</v>
      </c>
      <c r="J997" s="36">
        <v>0</v>
      </c>
      <c r="K997" s="34">
        <v>2014</v>
      </c>
      <c r="L997" s="34">
        <v>9</v>
      </c>
      <c r="M997" s="34">
        <v>11</v>
      </c>
      <c r="N997" s="26"/>
    </row>
    <row r="998" spans="1:14">
      <c r="A998" s="26">
        <v>500101</v>
      </c>
      <c r="B998" s="27" t="s">
        <v>820</v>
      </c>
      <c r="C998" s="26" t="s">
        <v>157</v>
      </c>
      <c r="D998" s="27" t="s">
        <v>158</v>
      </c>
      <c r="G998" s="28">
        <v>0</v>
      </c>
      <c r="H998" s="26">
        <v>444.44</v>
      </c>
      <c r="I998" s="26">
        <v>9</v>
      </c>
      <c r="J998" s="36">
        <v>2</v>
      </c>
      <c r="K998" s="34">
        <v>2014</v>
      </c>
      <c r="L998" s="34">
        <v>9</v>
      </c>
      <c r="M998" s="34">
        <v>19</v>
      </c>
      <c r="N998" s="26"/>
    </row>
    <row r="999" spans="1:14">
      <c r="A999" s="26">
        <v>222125</v>
      </c>
      <c r="B999" s="27" t="s">
        <v>820</v>
      </c>
      <c r="C999" s="26" t="s">
        <v>126</v>
      </c>
      <c r="D999" s="27" t="s">
        <v>136</v>
      </c>
      <c r="G999" s="28">
        <v>0</v>
      </c>
      <c r="H999" s="26">
        <v>75.56</v>
      </c>
      <c r="I999" s="26">
        <v>9</v>
      </c>
      <c r="J999" s="36">
        <v>2</v>
      </c>
      <c r="K999" s="34">
        <v>2014</v>
      </c>
      <c r="L999" s="34">
        <v>9</v>
      </c>
      <c r="M999" s="34">
        <v>19</v>
      </c>
      <c r="N999" s="26"/>
    </row>
    <row r="1000" spans="1:14">
      <c r="A1000" s="26">
        <v>100201</v>
      </c>
      <c r="B1000" s="27" t="s">
        <v>821</v>
      </c>
      <c r="C1000" s="26" t="s">
        <v>47</v>
      </c>
      <c r="D1000" s="27" t="s">
        <v>48</v>
      </c>
      <c r="G1000" s="28">
        <v>520</v>
      </c>
      <c r="H1000" s="26">
        <v>0</v>
      </c>
      <c r="I1000" s="26">
        <v>9</v>
      </c>
      <c r="J1000" s="36">
        <v>2</v>
      </c>
      <c r="K1000" s="34">
        <v>2014</v>
      </c>
      <c r="L1000" s="34">
        <v>9</v>
      </c>
      <c r="M1000" s="34">
        <v>19</v>
      </c>
      <c r="N1000" s="26"/>
    </row>
    <row r="1001" spans="1:14">
      <c r="A1001" s="26">
        <v>500102</v>
      </c>
      <c r="B1001" s="27" t="s">
        <v>822</v>
      </c>
      <c r="C1001" s="26" t="s">
        <v>157</v>
      </c>
      <c r="D1001" s="27" t="s">
        <v>159</v>
      </c>
      <c r="G1001" s="28">
        <v>0</v>
      </c>
      <c r="H1001" s="26">
        <v>2250</v>
      </c>
      <c r="I1001" s="26">
        <v>10</v>
      </c>
      <c r="J1001" s="36">
        <v>1</v>
      </c>
      <c r="K1001" s="34">
        <v>2014</v>
      </c>
      <c r="L1001" s="34">
        <v>9</v>
      </c>
      <c r="M1001" s="34">
        <v>19</v>
      </c>
      <c r="N1001" s="26"/>
    </row>
    <row r="1002" spans="1:14">
      <c r="A1002" s="26">
        <v>112204</v>
      </c>
      <c r="B1002" s="27" t="s">
        <v>823</v>
      </c>
      <c r="C1002" s="26" t="s">
        <v>49</v>
      </c>
      <c r="D1002" s="27" t="s">
        <v>255</v>
      </c>
      <c r="G1002" s="28">
        <v>2250</v>
      </c>
      <c r="H1002" s="26">
        <v>0</v>
      </c>
      <c r="I1002" s="26">
        <v>10</v>
      </c>
      <c r="J1002" s="36">
        <v>1</v>
      </c>
      <c r="K1002" s="34">
        <v>2014</v>
      </c>
      <c r="L1002" s="34">
        <v>9</v>
      </c>
      <c r="M1002" s="34">
        <v>19</v>
      </c>
      <c r="N1002" s="26"/>
    </row>
    <row r="1003" spans="1:14">
      <c r="A1003" s="26">
        <v>100101</v>
      </c>
      <c r="B1003" s="27" t="s">
        <v>824</v>
      </c>
      <c r="C1003" s="26" t="s">
        <v>46</v>
      </c>
      <c r="D1003" s="27" t="s">
        <v>199</v>
      </c>
      <c r="G1003" s="28">
        <v>800</v>
      </c>
      <c r="H1003" s="26">
        <v>0</v>
      </c>
      <c r="I1003" s="26">
        <v>11</v>
      </c>
      <c r="J1003" s="36">
        <v>2</v>
      </c>
      <c r="K1003" s="34">
        <v>2014</v>
      </c>
      <c r="L1003" s="34">
        <v>9</v>
      </c>
      <c r="M1003" s="34">
        <v>19</v>
      </c>
      <c r="N1003" s="26"/>
    </row>
    <row r="1004" spans="1:14">
      <c r="A1004" s="26">
        <v>500102</v>
      </c>
      <c r="B1004" s="27" t="s">
        <v>825</v>
      </c>
      <c r="C1004" s="26" t="s">
        <v>157</v>
      </c>
      <c r="D1004" s="27" t="s">
        <v>159</v>
      </c>
      <c r="G1004" s="28">
        <v>0</v>
      </c>
      <c r="H1004" s="26">
        <v>800</v>
      </c>
      <c r="I1004" s="26">
        <v>11</v>
      </c>
      <c r="J1004" s="36">
        <v>2</v>
      </c>
      <c r="K1004" s="34">
        <v>2014</v>
      </c>
      <c r="L1004" s="34">
        <v>9</v>
      </c>
      <c r="M1004" s="34">
        <v>19</v>
      </c>
      <c r="N1004" s="26"/>
    </row>
    <row r="1005" spans="1:14">
      <c r="A1005" s="26">
        <v>560203</v>
      </c>
      <c r="B1005" s="27" t="s">
        <v>360</v>
      </c>
      <c r="C1005" s="26" t="s">
        <v>166</v>
      </c>
      <c r="D1005" s="27" t="s">
        <v>169</v>
      </c>
      <c r="G1005" s="28">
        <v>508</v>
      </c>
      <c r="H1005" s="26">
        <v>0</v>
      </c>
      <c r="I1005" s="26">
        <v>12</v>
      </c>
      <c r="J1005" s="36">
        <v>6</v>
      </c>
      <c r="K1005" s="34">
        <v>2014</v>
      </c>
      <c r="L1005" s="34">
        <v>9</v>
      </c>
      <c r="M1005" s="34">
        <v>19</v>
      </c>
      <c r="N1005" s="26"/>
    </row>
    <row r="1006" spans="1:14">
      <c r="A1006" s="26">
        <v>560207</v>
      </c>
      <c r="B1006" s="27" t="s">
        <v>427</v>
      </c>
      <c r="C1006" s="26" t="s">
        <v>166</v>
      </c>
      <c r="D1006" s="27" t="s">
        <v>173</v>
      </c>
      <c r="G1006" s="28">
        <v>150</v>
      </c>
      <c r="H1006" s="26">
        <v>0</v>
      </c>
      <c r="I1006" s="26">
        <v>12</v>
      </c>
      <c r="J1006" s="36">
        <v>6</v>
      </c>
      <c r="K1006" s="34">
        <v>2014</v>
      </c>
      <c r="L1006" s="34">
        <v>9</v>
      </c>
      <c r="M1006" s="34">
        <v>19</v>
      </c>
      <c r="N1006" s="26"/>
    </row>
    <row r="1007" spans="1:14">
      <c r="A1007" s="26">
        <v>560204</v>
      </c>
      <c r="B1007" s="27" t="s">
        <v>826</v>
      </c>
      <c r="C1007" s="26" t="s">
        <v>166</v>
      </c>
      <c r="D1007" s="27" t="s">
        <v>170</v>
      </c>
      <c r="G1007" s="28">
        <v>130</v>
      </c>
      <c r="H1007" s="26">
        <v>0</v>
      </c>
      <c r="I1007" s="26">
        <v>12</v>
      </c>
      <c r="J1007" s="36">
        <v>6</v>
      </c>
      <c r="K1007" s="34">
        <v>2014</v>
      </c>
      <c r="L1007" s="34">
        <v>9</v>
      </c>
      <c r="M1007" s="34">
        <v>19</v>
      </c>
      <c r="N1007" s="26"/>
    </row>
    <row r="1008" spans="1:14">
      <c r="A1008" s="26">
        <v>560206</v>
      </c>
      <c r="B1008" s="27" t="s">
        <v>54</v>
      </c>
      <c r="C1008" s="26" t="s">
        <v>166</v>
      </c>
      <c r="D1008" s="27" t="s">
        <v>172</v>
      </c>
      <c r="G1008" s="28">
        <v>308</v>
      </c>
      <c r="H1008" s="26">
        <v>0</v>
      </c>
      <c r="I1008" s="26">
        <v>12</v>
      </c>
      <c r="J1008" s="36">
        <v>6</v>
      </c>
      <c r="K1008" s="34">
        <v>2014</v>
      </c>
      <c r="L1008" s="34">
        <v>9</v>
      </c>
      <c r="M1008" s="34">
        <v>19</v>
      </c>
      <c r="N1008" s="26"/>
    </row>
    <row r="1009" spans="1:14">
      <c r="A1009" s="26">
        <v>100101</v>
      </c>
      <c r="B1009" s="27" t="s">
        <v>584</v>
      </c>
      <c r="C1009" s="26" t="s">
        <v>46</v>
      </c>
      <c r="D1009" s="27" t="s">
        <v>199</v>
      </c>
      <c r="G1009" s="28">
        <v>0</v>
      </c>
      <c r="H1009" s="26">
        <v>1096</v>
      </c>
      <c r="I1009" s="26">
        <v>12</v>
      </c>
      <c r="J1009" s="36">
        <v>6</v>
      </c>
      <c r="K1009" s="34">
        <v>2014</v>
      </c>
      <c r="L1009" s="34">
        <v>9</v>
      </c>
      <c r="M1009" s="34">
        <v>19</v>
      </c>
      <c r="N1009" s="26"/>
    </row>
    <row r="1010" spans="1:14">
      <c r="A1010" s="26">
        <v>500103</v>
      </c>
      <c r="B1010" s="27" t="s">
        <v>827</v>
      </c>
      <c r="C1010" s="26" t="s">
        <v>157</v>
      </c>
      <c r="D1010" s="27" t="s">
        <v>160</v>
      </c>
      <c r="G1010" s="28">
        <v>0</v>
      </c>
      <c r="H1010" s="26">
        <v>48000</v>
      </c>
      <c r="I1010" s="26">
        <v>13</v>
      </c>
      <c r="J1010" s="36">
        <v>1</v>
      </c>
      <c r="K1010" s="34">
        <v>2014</v>
      </c>
      <c r="L1010" s="34">
        <v>9</v>
      </c>
      <c r="M1010" s="34">
        <v>19</v>
      </c>
      <c r="N1010" s="26"/>
    </row>
    <row r="1011" spans="1:14">
      <c r="A1011" s="26">
        <v>112208</v>
      </c>
      <c r="B1011" s="27" t="s">
        <v>828</v>
      </c>
      <c r="C1011" s="26" t="s">
        <v>49</v>
      </c>
      <c r="D1011" s="27" t="s">
        <v>57</v>
      </c>
      <c r="G1011" s="28">
        <v>48000</v>
      </c>
      <c r="H1011" s="26">
        <v>0</v>
      </c>
      <c r="I1011" s="26">
        <v>13</v>
      </c>
      <c r="J1011" s="36">
        <v>1</v>
      </c>
      <c r="K1011" s="34">
        <v>2014</v>
      </c>
      <c r="L1011" s="34">
        <v>9</v>
      </c>
      <c r="M1011" s="34">
        <v>19</v>
      </c>
      <c r="N1011" s="26"/>
    </row>
    <row r="1012" spans="1:14">
      <c r="A1012" s="26">
        <v>112205</v>
      </c>
      <c r="B1012" s="27" t="s">
        <v>829</v>
      </c>
      <c r="C1012" s="26" t="s">
        <v>49</v>
      </c>
      <c r="D1012" s="27" t="s">
        <v>366</v>
      </c>
      <c r="G1012" s="28">
        <v>0</v>
      </c>
      <c r="H1012" s="26">
        <v>1250</v>
      </c>
      <c r="I1012" s="26">
        <v>14</v>
      </c>
      <c r="J1012" s="36">
        <v>1</v>
      </c>
      <c r="K1012" s="34">
        <v>2014</v>
      </c>
      <c r="L1012" s="34">
        <v>9</v>
      </c>
      <c r="M1012" s="34">
        <v>19</v>
      </c>
      <c r="N1012" s="26"/>
    </row>
    <row r="1013" spans="1:14">
      <c r="A1013" s="26">
        <v>100201</v>
      </c>
      <c r="B1013" s="27" t="s">
        <v>830</v>
      </c>
      <c r="C1013" s="26" t="s">
        <v>47</v>
      </c>
      <c r="D1013" s="27" t="s">
        <v>48</v>
      </c>
      <c r="G1013" s="28">
        <v>1250</v>
      </c>
      <c r="H1013" s="26">
        <v>0</v>
      </c>
      <c r="I1013" s="26">
        <v>14</v>
      </c>
      <c r="J1013" s="36">
        <v>1</v>
      </c>
      <c r="K1013" s="34">
        <v>2014</v>
      </c>
      <c r="L1013" s="34">
        <v>9</v>
      </c>
      <c r="M1013" s="34">
        <v>19</v>
      </c>
      <c r="N1013" s="26"/>
    </row>
    <row r="1014" spans="1:14">
      <c r="A1014" s="26">
        <v>540304</v>
      </c>
      <c r="B1014" s="27" t="s">
        <v>831</v>
      </c>
      <c r="C1014" s="26" t="s">
        <v>165</v>
      </c>
      <c r="D1014" s="27" t="s">
        <v>128</v>
      </c>
      <c r="G1014" s="28">
        <v>1440</v>
      </c>
      <c r="H1014" s="26">
        <v>0</v>
      </c>
      <c r="I1014" s="26">
        <v>15</v>
      </c>
      <c r="J1014" s="36">
        <v>0</v>
      </c>
      <c r="K1014" s="34">
        <v>2014</v>
      </c>
      <c r="L1014" s="34">
        <v>9</v>
      </c>
      <c r="M1014" s="34">
        <v>19</v>
      </c>
      <c r="N1014" s="26"/>
    </row>
    <row r="1015" spans="1:14">
      <c r="A1015" s="26">
        <v>540301</v>
      </c>
      <c r="B1015" s="27" t="s">
        <v>831</v>
      </c>
      <c r="C1015" s="26" t="s">
        <v>165</v>
      </c>
      <c r="D1015" s="27" t="s">
        <v>129</v>
      </c>
      <c r="G1015" s="28">
        <v>100.8</v>
      </c>
      <c r="H1015" s="26">
        <v>0</v>
      </c>
      <c r="I1015" s="26">
        <v>15</v>
      </c>
      <c r="J1015" s="36">
        <v>0</v>
      </c>
      <c r="K1015" s="34">
        <v>2014</v>
      </c>
      <c r="L1015" s="34">
        <v>9</v>
      </c>
      <c r="M1015" s="34">
        <v>19</v>
      </c>
      <c r="N1015" s="26"/>
    </row>
    <row r="1016" spans="1:14">
      <c r="A1016" s="26">
        <v>540302</v>
      </c>
      <c r="B1016" s="27" t="s">
        <v>831</v>
      </c>
      <c r="C1016" s="26" t="s">
        <v>165</v>
      </c>
      <c r="D1016" s="27" t="s">
        <v>130</v>
      </c>
      <c r="G1016" s="28">
        <v>72</v>
      </c>
      <c r="H1016" s="26">
        <v>0</v>
      </c>
      <c r="I1016" s="26">
        <v>15</v>
      </c>
      <c r="J1016" s="36">
        <v>0</v>
      </c>
      <c r="K1016" s="34">
        <v>2014</v>
      </c>
      <c r="L1016" s="34">
        <v>9</v>
      </c>
      <c r="M1016" s="34">
        <v>19</v>
      </c>
      <c r="N1016" s="26"/>
    </row>
    <row r="1017" spans="1:14">
      <c r="A1017" s="26">
        <v>540303</v>
      </c>
      <c r="B1017" s="27" t="s">
        <v>831</v>
      </c>
      <c r="C1017" s="26" t="s">
        <v>165</v>
      </c>
      <c r="D1017" s="27" t="s">
        <v>131</v>
      </c>
      <c r="G1017" s="28">
        <v>14.4</v>
      </c>
      <c r="H1017" s="26">
        <v>0</v>
      </c>
      <c r="I1017" s="26">
        <v>15</v>
      </c>
      <c r="J1017" s="36">
        <v>0</v>
      </c>
      <c r="K1017" s="34">
        <v>2014</v>
      </c>
      <c r="L1017" s="34">
        <v>9</v>
      </c>
      <c r="M1017" s="34">
        <v>19</v>
      </c>
      <c r="N1017" s="26"/>
    </row>
    <row r="1018" spans="1:14">
      <c r="A1018" s="26">
        <v>580101</v>
      </c>
      <c r="B1018" s="27" t="s">
        <v>831</v>
      </c>
      <c r="C1018" s="26" t="s">
        <v>183</v>
      </c>
      <c r="D1018" s="27" t="s">
        <v>199</v>
      </c>
      <c r="G1018" s="28">
        <v>384</v>
      </c>
      <c r="H1018" s="26">
        <v>0</v>
      </c>
      <c r="I1018" s="26">
        <v>15</v>
      </c>
      <c r="J1018" s="36">
        <v>0</v>
      </c>
      <c r="K1018" s="34">
        <v>2014</v>
      </c>
      <c r="L1018" s="34">
        <v>9</v>
      </c>
      <c r="M1018" s="34">
        <v>19</v>
      </c>
      <c r="N1018" s="26"/>
    </row>
    <row r="1019" spans="1:14">
      <c r="A1019" s="26">
        <v>560206</v>
      </c>
      <c r="B1019" s="27" t="s">
        <v>831</v>
      </c>
      <c r="C1019" s="26" t="s">
        <v>166</v>
      </c>
      <c r="D1019" s="27" t="s">
        <v>172</v>
      </c>
      <c r="G1019" s="28">
        <v>24</v>
      </c>
      <c r="H1019" s="26">
        <v>0</v>
      </c>
      <c r="I1019" s="26">
        <v>15</v>
      </c>
      <c r="J1019" s="36">
        <v>0</v>
      </c>
      <c r="K1019" s="34">
        <v>2014</v>
      </c>
      <c r="L1019" s="34">
        <v>9</v>
      </c>
      <c r="M1019" s="34">
        <v>19</v>
      </c>
      <c r="N1019" s="26"/>
    </row>
    <row r="1020" spans="1:14">
      <c r="A1020" s="26">
        <v>222102</v>
      </c>
      <c r="B1020" s="27" t="s">
        <v>831</v>
      </c>
      <c r="C1020" s="26" t="s">
        <v>126</v>
      </c>
      <c r="D1020" s="27" t="s">
        <v>128</v>
      </c>
      <c r="G1020" s="28">
        <v>0</v>
      </c>
      <c r="H1020" s="26">
        <v>1440</v>
      </c>
      <c r="I1020" s="26">
        <v>15</v>
      </c>
      <c r="J1020" s="36">
        <v>0</v>
      </c>
      <c r="K1020" s="34">
        <v>2014</v>
      </c>
      <c r="L1020" s="34">
        <v>9</v>
      </c>
      <c r="M1020" s="34">
        <v>19</v>
      </c>
      <c r="N1020" s="26"/>
    </row>
    <row r="1021" spans="1:14">
      <c r="A1021" s="26">
        <v>222103</v>
      </c>
      <c r="B1021" s="27" t="s">
        <v>831</v>
      </c>
      <c r="C1021" s="26" t="s">
        <v>126</v>
      </c>
      <c r="D1021" s="27" t="s">
        <v>129</v>
      </c>
      <c r="G1021" s="28">
        <v>0</v>
      </c>
      <c r="H1021" s="26">
        <v>100.8</v>
      </c>
      <c r="I1021" s="26">
        <v>15</v>
      </c>
      <c r="J1021" s="36">
        <v>0</v>
      </c>
      <c r="K1021" s="34">
        <v>2014</v>
      </c>
      <c r="L1021" s="34">
        <v>9</v>
      </c>
      <c r="M1021" s="34">
        <v>19</v>
      </c>
      <c r="N1021" s="26"/>
    </row>
    <row r="1022" spans="1:14">
      <c r="A1022" s="26">
        <v>222104</v>
      </c>
      <c r="B1022" s="27" t="s">
        <v>831</v>
      </c>
      <c r="C1022" s="26" t="s">
        <v>126</v>
      </c>
      <c r="D1022" s="27" t="s">
        <v>130</v>
      </c>
      <c r="G1022" s="28">
        <v>0</v>
      </c>
      <c r="H1022" s="26">
        <v>72</v>
      </c>
      <c r="I1022" s="26">
        <v>15</v>
      </c>
      <c r="J1022" s="36">
        <v>0</v>
      </c>
      <c r="K1022" s="34">
        <v>2014</v>
      </c>
      <c r="L1022" s="34">
        <v>9</v>
      </c>
      <c r="M1022" s="34">
        <v>19</v>
      </c>
      <c r="N1022" s="26"/>
    </row>
    <row r="1023" spans="1:14">
      <c r="A1023" s="26">
        <v>222105</v>
      </c>
      <c r="B1023" s="27" t="s">
        <v>831</v>
      </c>
      <c r="C1023" s="26" t="s">
        <v>126</v>
      </c>
      <c r="D1023" s="27" t="s">
        <v>131</v>
      </c>
      <c r="G1023" s="28">
        <v>0</v>
      </c>
      <c r="H1023" s="26">
        <v>14.4</v>
      </c>
      <c r="I1023" s="26">
        <v>15</v>
      </c>
      <c r="J1023" s="36">
        <v>0</v>
      </c>
      <c r="K1023" s="34">
        <v>2014</v>
      </c>
      <c r="L1023" s="34">
        <v>9</v>
      </c>
      <c r="M1023" s="34">
        <v>19</v>
      </c>
      <c r="N1023" s="26"/>
    </row>
    <row r="1024" spans="1:14">
      <c r="A1024" s="26">
        <v>222106</v>
      </c>
      <c r="B1024" s="27" t="s">
        <v>831</v>
      </c>
      <c r="C1024" s="26" t="s">
        <v>126</v>
      </c>
      <c r="D1024" s="27" t="s">
        <v>132</v>
      </c>
      <c r="G1024" s="28">
        <v>0</v>
      </c>
      <c r="H1024" s="26">
        <v>384</v>
      </c>
      <c r="I1024" s="26">
        <v>15</v>
      </c>
      <c r="J1024" s="36">
        <v>0</v>
      </c>
      <c r="K1024" s="34">
        <v>2014</v>
      </c>
      <c r="L1024" s="34">
        <v>9</v>
      </c>
      <c r="M1024" s="34">
        <v>19</v>
      </c>
      <c r="N1024" s="26"/>
    </row>
    <row r="1025" spans="1:14">
      <c r="A1025" s="26">
        <v>224104</v>
      </c>
      <c r="B1025" s="27" t="s">
        <v>831</v>
      </c>
      <c r="C1025" s="26" t="s">
        <v>140</v>
      </c>
      <c r="D1025" s="27" t="s">
        <v>142</v>
      </c>
      <c r="G1025" s="28">
        <v>0</v>
      </c>
      <c r="H1025" s="26">
        <v>24</v>
      </c>
      <c r="I1025" s="26">
        <v>15</v>
      </c>
      <c r="J1025" s="36">
        <v>0</v>
      </c>
      <c r="K1025" s="34">
        <v>2014</v>
      </c>
      <c r="L1025" s="34">
        <v>9</v>
      </c>
      <c r="M1025" s="34">
        <v>19</v>
      </c>
      <c r="N1025" s="26"/>
    </row>
    <row r="1026" spans="1:14">
      <c r="A1026" s="26">
        <v>222102</v>
      </c>
      <c r="B1026" s="27" t="s">
        <v>832</v>
      </c>
      <c r="C1026" s="26" t="s">
        <v>126</v>
      </c>
      <c r="D1026" s="27" t="s">
        <v>128</v>
      </c>
      <c r="G1026" s="28">
        <v>1440</v>
      </c>
      <c r="H1026" s="26">
        <v>0</v>
      </c>
      <c r="I1026" s="26">
        <v>16</v>
      </c>
      <c r="J1026" s="36">
        <v>3</v>
      </c>
      <c r="K1026" s="34">
        <v>2014</v>
      </c>
      <c r="L1026" s="34">
        <v>9</v>
      </c>
      <c r="M1026" s="34">
        <v>19</v>
      </c>
      <c r="N1026" s="26"/>
    </row>
    <row r="1027" spans="1:14">
      <c r="A1027" s="26">
        <v>222103</v>
      </c>
      <c r="B1027" s="27" t="s">
        <v>832</v>
      </c>
      <c r="C1027" s="26" t="s">
        <v>126</v>
      </c>
      <c r="D1027" s="27" t="s">
        <v>129</v>
      </c>
      <c r="G1027" s="28">
        <v>100.8</v>
      </c>
      <c r="H1027" s="26">
        <v>0</v>
      </c>
      <c r="I1027" s="26">
        <v>16</v>
      </c>
      <c r="J1027" s="36">
        <v>3</v>
      </c>
      <c r="K1027" s="34">
        <v>2014</v>
      </c>
      <c r="L1027" s="34">
        <v>9</v>
      </c>
      <c r="M1027" s="34">
        <v>19</v>
      </c>
      <c r="N1027" s="26"/>
    </row>
    <row r="1028" spans="1:14">
      <c r="A1028" s="26">
        <v>222104</v>
      </c>
      <c r="B1028" s="27" t="s">
        <v>832</v>
      </c>
      <c r="C1028" s="26" t="s">
        <v>126</v>
      </c>
      <c r="D1028" s="27" t="s">
        <v>130</v>
      </c>
      <c r="G1028" s="28">
        <v>72</v>
      </c>
      <c r="H1028" s="26">
        <v>0</v>
      </c>
      <c r="I1028" s="26">
        <v>16</v>
      </c>
      <c r="J1028" s="36">
        <v>3</v>
      </c>
      <c r="K1028" s="34">
        <v>2014</v>
      </c>
      <c r="L1028" s="34">
        <v>9</v>
      </c>
      <c r="M1028" s="34">
        <v>19</v>
      </c>
      <c r="N1028" s="26"/>
    </row>
    <row r="1029" spans="1:14">
      <c r="A1029" s="26">
        <v>222105</v>
      </c>
      <c r="B1029" s="27" t="s">
        <v>832</v>
      </c>
      <c r="C1029" s="26" t="s">
        <v>126</v>
      </c>
      <c r="D1029" s="27" t="s">
        <v>131</v>
      </c>
      <c r="G1029" s="28">
        <v>14.4</v>
      </c>
      <c r="H1029" s="26">
        <v>0</v>
      </c>
      <c r="I1029" s="26">
        <v>16</v>
      </c>
      <c r="J1029" s="36">
        <v>3</v>
      </c>
      <c r="K1029" s="34">
        <v>2014</v>
      </c>
      <c r="L1029" s="34">
        <v>9</v>
      </c>
      <c r="M1029" s="34">
        <v>19</v>
      </c>
      <c r="N1029" s="26"/>
    </row>
    <row r="1030" spans="1:14">
      <c r="A1030" s="26">
        <v>222106</v>
      </c>
      <c r="B1030" s="27" t="s">
        <v>832</v>
      </c>
      <c r="C1030" s="26" t="s">
        <v>126</v>
      </c>
      <c r="D1030" s="27" t="s">
        <v>132</v>
      </c>
      <c r="G1030" s="28">
        <v>384</v>
      </c>
      <c r="H1030" s="26">
        <v>0</v>
      </c>
      <c r="I1030" s="26">
        <v>16</v>
      </c>
      <c r="J1030" s="36">
        <v>3</v>
      </c>
      <c r="K1030" s="34">
        <v>2014</v>
      </c>
      <c r="L1030" s="34">
        <v>9</v>
      </c>
      <c r="M1030" s="34">
        <v>19</v>
      </c>
      <c r="N1030" s="26"/>
    </row>
    <row r="1031" spans="1:14">
      <c r="A1031" s="26">
        <v>224104</v>
      </c>
      <c r="B1031" s="27" t="s">
        <v>832</v>
      </c>
      <c r="C1031" s="26" t="s">
        <v>140</v>
      </c>
      <c r="D1031" s="27" t="s">
        <v>142</v>
      </c>
      <c r="G1031" s="28">
        <v>24</v>
      </c>
      <c r="H1031" s="26">
        <v>0</v>
      </c>
      <c r="I1031" s="26">
        <v>16</v>
      </c>
      <c r="J1031" s="36">
        <v>3</v>
      </c>
      <c r="K1031" s="34">
        <v>2014</v>
      </c>
      <c r="L1031" s="34">
        <v>9</v>
      </c>
      <c r="M1031" s="34">
        <v>19</v>
      </c>
      <c r="N1031" s="26"/>
    </row>
    <row r="1032" spans="1:14">
      <c r="A1032" s="26">
        <v>224101</v>
      </c>
      <c r="B1032" s="27" t="s">
        <v>832</v>
      </c>
      <c r="C1032" s="26" t="s">
        <v>140</v>
      </c>
      <c r="D1032" s="27" t="s">
        <v>12</v>
      </c>
      <c r="G1032" s="28">
        <v>0</v>
      </c>
      <c r="H1032" s="26">
        <v>2035.2</v>
      </c>
      <c r="I1032" s="26">
        <v>16</v>
      </c>
      <c r="J1032" s="36">
        <v>3</v>
      </c>
      <c r="K1032" s="34">
        <v>2014</v>
      </c>
      <c r="L1032" s="34">
        <v>9</v>
      </c>
      <c r="M1032" s="34">
        <v>19</v>
      </c>
      <c r="N1032" s="26"/>
    </row>
    <row r="1033" spans="1:14">
      <c r="A1033" s="26">
        <v>112207</v>
      </c>
      <c r="B1033" s="27" t="s">
        <v>606</v>
      </c>
      <c r="C1033" s="26" t="s">
        <v>49</v>
      </c>
      <c r="D1033" s="27" t="s">
        <v>56</v>
      </c>
      <c r="G1033" s="28">
        <v>0</v>
      </c>
      <c r="H1033" s="26">
        <v>11750</v>
      </c>
      <c r="I1033" s="26">
        <v>17</v>
      </c>
      <c r="J1033" s="36">
        <v>1</v>
      </c>
      <c r="K1033" s="34">
        <v>2014</v>
      </c>
      <c r="L1033" s="34">
        <v>9</v>
      </c>
      <c r="M1033" s="34">
        <v>19</v>
      </c>
      <c r="N1033" s="26"/>
    </row>
    <row r="1034" spans="1:14">
      <c r="A1034" s="26">
        <v>100201</v>
      </c>
      <c r="B1034" s="27" t="s">
        <v>833</v>
      </c>
      <c r="C1034" s="26" t="s">
        <v>47</v>
      </c>
      <c r="D1034" s="27" t="s">
        <v>48</v>
      </c>
      <c r="G1034" s="28">
        <v>11750</v>
      </c>
      <c r="H1034" s="26">
        <v>0</v>
      </c>
      <c r="I1034" s="26">
        <v>17</v>
      </c>
      <c r="J1034" s="36">
        <v>1</v>
      </c>
      <c r="K1034" s="34">
        <v>2014</v>
      </c>
      <c r="L1034" s="34">
        <v>9</v>
      </c>
      <c r="M1034" s="34">
        <v>19</v>
      </c>
      <c r="N1034" s="26"/>
    </row>
    <row r="1035" spans="1:14">
      <c r="A1035" s="26">
        <v>221104</v>
      </c>
      <c r="B1035" s="27" t="s">
        <v>834</v>
      </c>
      <c r="C1035" s="26" t="s">
        <v>113</v>
      </c>
      <c r="D1035" s="27" t="s">
        <v>117</v>
      </c>
      <c r="G1035" s="28">
        <v>2792.79</v>
      </c>
      <c r="H1035" s="26">
        <v>0</v>
      </c>
      <c r="I1035" s="26">
        <v>18</v>
      </c>
      <c r="J1035" s="36">
        <v>2</v>
      </c>
      <c r="K1035" s="34">
        <v>2014</v>
      </c>
      <c r="L1035" s="34">
        <v>9</v>
      </c>
      <c r="M1035" s="34">
        <v>19</v>
      </c>
      <c r="N1035" s="26"/>
    </row>
    <row r="1036" spans="1:14">
      <c r="A1036" s="26">
        <v>100201</v>
      </c>
      <c r="B1036" s="27" t="s">
        <v>835</v>
      </c>
      <c r="C1036" s="26" t="s">
        <v>47</v>
      </c>
      <c r="D1036" s="27" t="s">
        <v>48</v>
      </c>
      <c r="G1036" s="28">
        <v>0</v>
      </c>
      <c r="H1036" s="26">
        <v>2792.79</v>
      </c>
      <c r="I1036" s="26">
        <v>18</v>
      </c>
      <c r="J1036" s="36">
        <v>2</v>
      </c>
      <c r="K1036" s="34">
        <v>2014</v>
      </c>
      <c r="L1036" s="34">
        <v>9</v>
      </c>
      <c r="M1036" s="34">
        <v>19</v>
      </c>
      <c r="N1036" s="26"/>
    </row>
    <row r="1037" spans="1:14">
      <c r="A1037" s="26">
        <v>560206</v>
      </c>
      <c r="B1037" s="27" t="s">
        <v>836</v>
      </c>
      <c r="C1037" s="26" t="s">
        <v>166</v>
      </c>
      <c r="D1037" s="27" t="s">
        <v>172</v>
      </c>
      <c r="G1037" s="28">
        <v>101.17</v>
      </c>
      <c r="H1037" s="26">
        <v>0</v>
      </c>
      <c r="I1037" s="26">
        <v>19</v>
      </c>
      <c r="J1037" s="36">
        <v>1</v>
      </c>
      <c r="K1037" s="34">
        <v>2014</v>
      </c>
      <c r="L1037" s="34">
        <v>9</v>
      </c>
      <c r="M1037" s="34">
        <v>19</v>
      </c>
      <c r="N1037" s="26"/>
    </row>
    <row r="1038" spans="1:14">
      <c r="A1038" s="26">
        <v>100201</v>
      </c>
      <c r="B1038" s="27" t="s">
        <v>837</v>
      </c>
      <c r="C1038" s="26" t="s">
        <v>47</v>
      </c>
      <c r="D1038" s="27" t="s">
        <v>48</v>
      </c>
      <c r="G1038" s="28">
        <v>0</v>
      </c>
      <c r="H1038" s="26">
        <v>101.17</v>
      </c>
      <c r="I1038" s="26">
        <v>19</v>
      </c>
      <c r="J1038" s="36">
        <v>1</v>
      </c>
      <c r="K1038" s="34">
        <v>2014</v>
      </c>
      <c r="L1038" s="34">
        <v>9</v>
      </c>
      <c r="M1038" s="34">
        <v>19</v>
      </c>
      <c r="N1038" s="26"/>
    </row>
    <row r="1039" spans="1:14">
      <c r="A1039" s="26">
        <v>222103</v>
      </c>
      <c r="B1039" s="27" t="s">
        <v>838</v>
      </c>
      <c r="C1039" s="26" t="s">
        <v>126</v>
      </c>
      <c r="D1039" s="27" t="s">
        <v>129</v>
      </c>
      <c r="G1039" s="28">
        <v>42.35</v>
      </c>
      <c r="H1039" s="26">
        <v>0</v>
      </c>
      <c r="I1039" s="26">
        <v>20</v>
      </c>
      <c r="J1039" s="36">
        <v>1</v>
      </c>
      <c r="K1039" s="34">
        <v>2014</v>
      </c>
      <c r="L1039" s="34">
        <v>9</v>
      </c>
      <c r="M1039" s="34">
        <v>19</v>
      </c>
      <c r="N1039" s="26"/>
    </row>
    <row r="1040" spans="1:14">
      <c r="A1040" s="26">
        <v>222103</v>
      </c>
      <c r="B1040" s="27" t="s">
        <v>838</v>
      </c>
      <c r="C1040" s="26" t="s">
        <v>126</v>
      </c>
      <c r="D1040" s="27" t="s">
        <v>129</v>
      </c>
      <c r="G1040" s="28">
        <v>42.35</v>
      </c>
      <c r="H1040" s="26">
        <v>0</v>
      </c>
      <c r="I1040" s="26">
        <v>20</v>
      </c>
      <c r="J1040" s="36">
        <v>1</v>
      </c>
      <c r="K1040" s="34">
        <v>2014</v>
      </c>
      <c r="L1040" s="34">
        <v>9</v>
      </c>
      <c r="M1040" s="34">
        <v>19</v>
      </c>
      <c r="N1040" s="26"/>
    </row>
    <row r="1041" spans="1:14">
      <c r="A1041" s="26">
        <v>222104</v>
      </c>
      <c r="B1041" s="27" t="s">
        <v>838</v>
      </c>
      <c r="C1041" s="26" t="s">
        <v>126</v>
      </c>
      <c r="D1041" s="27" t="s">
        <v>130</v>
      </c>
      <c r="G1041" s="28">
        <v>60.5</v>
      </c>
      <c r="H1041" s="26">
        <v>0</v>
      </c>
      <c r="I1041" s="26">
        <v>20</v>
      </c>
      <c r="J1041" s="36">
        <v>1</v>
      </c>
      <c r="K1041" s="34">
        <v>2014</v>
      </c>
      <c r="L1041" s="34">
        <v>9</v>
      </c>
      <c r="M1041" s="34">
        <v>19</v>
      </c>
      <c r="N1041" s="26"/>
    </row>
    <row r="1042" spans="1:14">
      <c r="A1042" s="26">
        <v>100201</v>
      </c>
      <c r="B1042" s="27" t="s">
        <v>839</v>
      </c>
      <c r="C1042" s="26" t="s">
        <v>47</v>
      </c>
      <c r="D1042" s="27" t="s">
        <v>48</v>
      </c>
      <c r="G1042" s="28">
        <v>0</v>
      </c>
      <c r="H1042" s="26">
        <v>145.2</v>
      </c>
      <c r="I1042" s="26">
        <v>20</v>
      </c>
      <c r="J1042" s="36">
        <v>1</v>
      </c>
      <c r="K1042" s="34">
        <v>2014</v>
      </c>
      <c r="L1042" s="34">
        <v>9</v>
      </c>
      <c r="M1042" s="34">
        <v>19</v>
      </c>
      <c r="N1042" s="26"/>
    </row>
    <row r="1043" spans="1:14">
      <c r="A1043" s="26">
        <v>222105</v>
      </c>
      <c r="B1043" s="27" t="s">
        <v>840</v>
      </c>
      <c r="C1043" s="26" t="s">
        <v>126</v>
      </c>
      <c r="D1043" s="27" t="s">
        <v>131</v>
      </c>
      <c r="G1043" s="28">
        <v>4</v>
      </c>
      <c r="H1043" s="26">
        <v>0</v>
      </c>
      <c r="I1043" s="26">
        <v>21</v>
      </c>
      <c r="J1043" s="36">
        <v>1</v>
      </c>
      <c r="K1043" s="34">
        <v>2014</v>
      </c>
      <c r="L1043" s="34">
        <v>9</v>
      </c>
      <c r="M1043" s="34">
        <v>19</v>
      </c>
      <c r="N1043" s="26"/>
    </row>
    <row r="1044" spans="1:14">
      <c r="A1044" s="26">
        <v>100201</v>
      </c>
      <c r="B1044" s="27" t="s">
        <v>841</v>
      </c>
      <c r="C1044" s="26" t="s">
        <v>47</v>
      </c>
      <c r="D1044" s="27" t="s">
        <v>48</v>
      </c>
      <c r="G1044" s="28">
        <v>0</v>
      </c>
      <c r="H1044" s="26">
        <v>4</v>
      </c>
      <c r="I1044" s="26">
        <v>21</v>
      </c>
      <c r="J1044" s="36">
        <v>1</v>
      </c>
      <c r="K1044" s="34">
        <v>2014</v>
      </c>
      <c r="L1044" s="34">
        <v>9</v>
      </c>
      <c r="M1044" s="34">
        <v>19</v>
      </c>
      <c r="N1044" s="26"/>
    </row>
    <row r="1045" spans="1:14">
      <c r="A1045" s="26">
        <v>560301</v>
      </c>
      <c r="B1045" s="27" t="s">
        <v>178</v>
      </c>
      <c r="C1045" s="26" t="s">
        <v>177</v>
      </c>
      <c r="D1045" s="27" t="s">
        <v>199</v>
      </c>
      <c r="G1045" s="28">
        <v>11</v>
      </c>
      <c r="H1045" s="26">
        <v>0</v>
      </c>
      <c r="I1045" s="26">
        <v>22</v>
      </c>
      <c r="J1045" s="36">
        <v>2</v>
      </c>
      <c r="K1045" s="34">
        <v>2014</v>
      </c>
      <c r="L1045" s="34">
        <v>9</v>
      </c>
      <c r="M1045" s="34">
        <v>19</v>
      </c>
      <c r="N1045" s="26"/>
    </row>
    <row r="1046" spans="1:14">
      <c r="A1046" s="26">
        <v>100201</v>
      </c>
      <c r="B1046" s="27" t="s">
        <v>842</v>
      </c>
      <c r="C1046" s="26" t="s">
        <v>47</v>
      </c>
      <c r="D1046" s="27" t="s">
        <v>48</v>
      </c>
      <c r="G1046" s="28">
        <v>0</v>
      </c>
      <c r="H1046" s="26">
        <v>10</v>
      </c>
      <c r="I1046" s="26">
        <v>22</v>
      </c>
      <c r="J1046" s="36">
        <v>2</v>
      </c>
      <c r="K1046" s="34">
        <v>2014</v>
      </c>
      <c r="L1046" s="34">
        <v>9</v>
      </c>
      <c r="M1046" s="34">
        <v>19</v>
      </c>
      <c r="N1046" s="26"/>
    </row>
    <row r="1047" spans="1:14">
      <c r="A1047" s="26">
        <v>100201</v>
      </c>
      <c r="B1047" s="27" t="s">
        <v>843</v>
      </c>
      <c r="C1047" s="26" t="s">
        <v>47</v>
      </c>
      <c r="D1047" s="27" t="s">
        <v>48</v>
      </c>
      <c r="G1047" s="28">
        <v>0</v>
      </c>
      <c r="H1047" s="26">
        <v>1</v>
      </c>
      <c r="I1047" s="26">
        <v>22</v>
      </c>
      <c r="J1047" s="36">
        <v>2</v>
      </c>
      <c r="K1047" s="34">
        <v>2014</v>
      </c>
      <c r="L1047" s="34">
        <v>9</v>
      </c>
      <c r="M1047" s="34">
        <v>19</v>
      </c>
      <c r="N1047" s="26"/>
    </row>
    <row r="1048" spans="1:14">
      <c r="A1048" s="26">
        <v>112316</v>
      </c>
      <c r="B1048" s="27" t="s">
        <v>844</v>
      </c>
      <c r="C1048" s="26" t="s">
        <v>64</v>
      </c>
      <c r="D1048" s="27" t="s">
        <v>75</v>
      </c>
      <c r="G1048" s="28">
        <v>6000</v>
      </c>
      <c r="H1048" s="26">
        <v>0</v>
      </c>
      <c r="I1048" s="26">
        <v>23</v>
      </c>
      <c r="J1048" s="36">
        <v>2</v>
      </c>
      <c r="K1048" s="34">
        <v>2014</v>
      </c>
      <c r="L1048" s="34">
        <v>9</v>
      </c>
      <c r="M1048" s="34">
        <v>19</v>
      </c>
      <c r="N1048" s="26"/>
    </row>
    <row r="1049" spans="1:14">
      <c r="A1049" s="26">
        <v>100201</v>
      </c>
      <c r="B1049" s="27" t="s">
        <v>844</v>
      </c>
      <c r="C1049" s="26" t="s">
        <v>47</v>
      </c>
      <c r="D1049" s="27" t="s">
        <v>48</v>
      </c>
      <c r="G1049" s="28">
        <v>0</v>
      </c>
      <c r="H1049" s="26">
        <v>6000</v>
      </c>
      <c r="I1049" s="26">
        <v>23</v>
      </c>
      <c r="J1049" s="36">
        <v>2</v>
      </c>
      <c r="K1049" s="34">
        <v>2014</v>
      </c>
      <c r="L1049" s="34">
        <v>9</v>
      </c>
      <c r="M1049" s="34">
        <v>19</v>
      </c>
      <c r="N1049" s="26"/>
    </row>
    <row r="1050" spans="1:14">
      <c r="A1050" s="26">
        <v>100201</v>
      </c>
      <c r="B1050" s="27" t="s">
        <v>845</v>
      </c>
      <c r="C1050" s="26" t="s">
        <v>47</v>
      </c>
      <c r="D1050" s="27" t="s">
        <v>48</v>
      </c>
      <c r="G1050" s="28">
        <v>3500</v>
      </c>
      <c r="H1050" s="26">
        <v>0</v>
      </c>
      <c r="I1050" s="26">
        <v>24</v>
      </c>
      <c r="J1050" s="36">
        <v>1</v>
      </c>
      <c r="K1050" s="34">
        <v>2014</v>
      </c>
      <c r="L1050" s="34">
        <v>9</v>
      </c>
      <c r="M1050" s="34">
        <v>19</v>
      </c>
      <c r="N1050" s="26"/>
    </row>
    <row r="1051" spans="1:14">
      <c r="A1051" s="26">
        <v>112204</v>
      </c>
      <c r="B1051" s="27" t="s">
        <v>846</v>
      </c>
      <c r="C1051" s="26" t="s">
        <v>49</v>
      </c>
      <c r="D1051" s="27" t="s">
        <v>255</v>
      </c>
      <c r="G1051" s="28">
        <v>0</v>
      </c>
      <c r="H1051" s="26">
        <v>3500</v>
      </c>
      <c r="I1051" s="26">
        <v>24</v>
      </c>
      <c r="J1051" s="36">
        <v>1</v>
      </c>
      <c r="K1051" s="34">
        <v>2014</v>
      </c>
      <c r="L1051" s="34">
        <v>9</v>
      </c>
      <c r="M1051" s="34">
        <v>19</v>
      </c>
      <c r="N1051" s="26"/>
    </row>
    <row r="1052" spans="1:14">
      <c r="A1052" s="26">
        <v>224101</v>
      </c>
      <c r="B1052" s="27" t="s">
        <v>249</v>
      </c>
      <c r="C1052" s="26" t="s">
        <v>140</v>
      </c>
      <c r="D1052" s="27" t="s">
        <v>12</v>
      </c>
      <c r="G1052" s="28">
        <v>0</v>
      </c>
      <c r="H1052" s="26">
        <v>5600</v>
      </c>
      <c r="I1052" s="26">
        <v>25</v>
      </c>
      <c r="J1052" s="36">
        <v>2</v>
      </c>
      <c r="K1052" s="34">
        <v>2014</v>
      </c>
      <c r="L1052" s="34">
        <v>9</v>
      </c>
      <c r="M1052" s="34">
        <v>19</v>
      </c>
      <c r="N1052" s="26"/>
    </row>
    <row r="1053" spans="1:14">
      <c r="A1053" s="26">
        <v>100201</v>
      </c>
      <c r="B1053" s="27" t="s">
        <v>847</v>
      </c>
      <c r="C1053" s="26" t="s">
        <v>47</v>
      </c>
      <c r="D1053" s="27" t="s">
        <v>48</v>
      </c>
      <c r="G1053" s="28">
        <v>5600</v>
      </c>
      <c r="H1053" s="26">
        <v>0</v>
      </c>
      <c r="I1053" s="26">
        <v>25</v>
      </c>
      <c r="J1053" s="36">
        <v>2</v>
      </c>
      <c r="K1053" s="34">
        <v>2014</v>
      </c>
      <c r="L1053" s="34">
        <v>9</v>
      </c>
      <c r="M1053" s="34">
        <v>19</v>
      </c>
      <c r="N1053" s="26"/>
    </row>
    <row r="1054" spans="1:14">
      <c r="A1054" s="26">
        <v>112310</v>
      </c>
      <c r="B1054" s="27" t="s">
        <v>848</v>
      </c>
      <c r="C1054" s="26" t="s">
        <v>64</v>
      </c>
      <c r="D1054" s="27" t="s">
        <v>69</v>
      </c>
      <c r="G1054" s="28">
        <v>164500</v>
      </c>
      <c r="H1054" s="26">
        <v>0</v>
      </c>
      <c r="I1054" s="26">
        <v>26</v>
      </c>
      <c r="J1054" s="36">
        <v>0</v>
      </c>
      <c r="K1054" s="34">
        <v>2014</v>
      </c>
      <c r="L1054" s="34">
        <v>9</v>
      </c>
      <c r="M1054" s="34">
        <v>19</v>
      </c>
      <c r="N1054" s="26"/>
    </row>
    <row r="1055" spans="1:14">
      <c r="A1055" s="26">
        <v>112311</v>
      </c>
      <c r="B1055" s="27" t="s">
        <v>848</v>
      </c>
      <c r="C1055" s="26" t="s">
        <v>64</v>
      </c>
      <c r="D1055" s="27" t="s">
        <v>70</v>
      </c>
      <c r="G1055" s="28">
        <v>0</v>
      </c>
      <c r="H1055" s="26">
        <v>164500</v>
      </c>
      <c r="I1055" s="26">
        <v>26</v>
      </c>
      <c r="J1055" s="36">
        <v>0</v>
      </c>
      <c r="K1055" s="34">
        <v>2014</v>
      </c>
      <c r="L1055" s="34">
        <v>9</v>
      </c>
      <c r="M1055" s="34">
        <v>19</v>
      </c>
      <c r="N1055" s="26"/>
    </row>
    <row r="1056" spans="1:14">
      <c r="A1056" s="26">
        <v>140501</v>
      </c>
      <c r="B1056" s="27" t="s">
        <v>849</v>
      </c>
      <c r="C1056" s="26" t="s">
        <v>89</v>
      </c>
      <c r="D1056" s="27" t="s">
        <v>199</v>
      </c>
      <c r="G1056" s="28">
        <v>5008.55</v>
      </c>
      <c r="H1056" s="26">
        <v>0</v>
      </c>
      <c r="I1056" s="26">
        <v>27</v>
      </c>
      <c r="J1056" s="36">
        <v>1</v>
      </c>
      <c r="K1056" s="34">
        <v>2014</v>
      </c>
      <c r="L1056" s="34">
        <v>9</v>
      </c>
      <c r="M1056" s="34">
        <v>19</v>
      </c>
      <c r="N1056" s="26"/>
    </row>
    <row r="1057" spans="1:14">
      <c r="A1057" s="26">
        <v>122105</v>
      </c>
      <c r="B1057" s="27" t="s">
        <v>849</v>
      </c>
      <c r="C1057" s="26" t="s">
        <v>78</v>
      </c>
      <c r="D1057" s="27" t="s">
        <v>83</v>
      </c>
      <c r="G1057" s="28">
        <v>0</v>
      </c>
      <c r="H1057" s="26">
        <v>5860</v>
      </c>
      <c r="I1057" s="26">
        <v>27</v>
      </c>
      <c r="J1057" s="36">
        <v>1</v>
      </c>
      <c r="K1057" s="34">
        <v>2014</v>
      </c>
      <c r="L1057" s="34">
        <v>9</v>
      </c>
      <c r="M1057" s="34">
        <v>19</v>
      </c>
      <c r="N1057" s="26"/>
    </row>
    <row r="1058" spans="1:14">
      <c r="A1058" s="26">
        <v>222121</v>
      </c>
      <c r="B1058" s="27" t="s">
        <v>849</v>
      </c>
      <c r="C1058" s="26" t="s">
        <v>126</v>
      </c>
      <c r="D1058" s="27" t="s">
        <v>133</v>
      </c>
      <c r="G1058" s="28">
        <v>851.45</v>
      </c>
      <c r="H1058" s="26">
        <v>0</v>
      </c>
      <c r="I1058" s="26">
        <v>27</v>
      </c>
      <c r="J1058" s="36">
        <v>1</v>
      </c>
      <c r="K1058" s="34">
        <v>2014</v>
      </c>
      <c r="L1058" s="34">
        <v>9</v>
      </c>
      <c r="M1058" s="34">
        <v>19</v>
      </c>
      <c r="N1058" s="26"/>
    </row>
    <row r="1059" spans="1:14">
      <c r="A1059" s="26">
        <v>140501</v>
      </c>
      <c r="B1059" s="27" t="s">
        <v>850</v>
      </c>
      <c r="C1059" s="26" t="s">
        <v>89</v>
      </c>
      <c r="D1059" s="27" t="s">
        <v>199</v>
      </c>
      <c r="G1059" s="28">
        <v>72222.22</v>
      </c>
      <c r="H1059" s="26">
        <v>0</v>
      </c>
      <c r="I1059" s="26">
        <v>28</v>
      </c>
      <c r="J1059" s="36">
        <v>1</v>
      </c>
      <c r="K1059" s="34">
        <v>2014</v>
      </c>
      <c r="L1059" s="34">
        <v>9</v>
      </c>
      <c r="M1059" s="34">
        <v>19</v>
      </c>
      <c r="N1059" s="26"/>
    </row>
    <row r="1060" spans="1:14">
      <c r="A1060" s="26">
        <v>222121</v>
      </c>
      <c r="B1060" s="27" t="s">
        <v>850</v>
      </c>
      <c r="C1060" s="26" t="s">
        <v>126</v>
      </c>
      <c r="D1060" s="27" t="s">
        <v>133</v>
      </c>
      <c r="G1060" s="28">
        <v>12277.78</v>
      </c>
      <c r="H1060" s="26">
        <v>0</v>
      </c>
      <c r="I1060" s="26">
        <v>28</v>
      </c>
      <c r="J1060" s="36">
        <v>1</v>
      </c>
      <c r="K1060" s="34">
        <v>2014</v>
      </c>
      <c r="L1060" s="34">
        <v>9</v>
      </c>
      <c r="M1060" s="34">
        <v>19</v>
      </c>
      <c r="N1060" s="26"/>
    </row>
    <row r="1061" spans="1:14">
      <c r="A1061" s="26">
        <v>220201</v>
      </c>
      <c r="B1061" s="27" t="s">
        <v>851</v>
      </c>
      <c r="C1061" s="26" t="s">
        <v>102</v>
      </c>
      <c r="D1061" s="27" t="s">
        <v>73</v>
      </c>
      <c r="G1061" s="28">
        <v>0</v>
      </c>
      <c r="H1061" s="26">
        <v>84500</v>
      </c>
      <c r="I1061" s="26">
        <v>28</v>
      </c>
      <c r="J1061" s="36">
        <v>1</v>
      </c>
      <c r="K1061" s="34">
        <v>2014</v>
      </c>
      <c r="L1061" s="34">
        <v>9</v>
      </c>
      <c r="M1061" s="34">
        <v>19</v>
      </c>
      <c r="N1061" s="26"/>
    </row>
    <row r="1062" spans="1:14">
      <c r="A1062" s="26">
        <v>220201</v>
      </c>
      <c r="B1062" s="27" t="s">
        <v>852</v>
      </c>
      <c r="C1062" s="26" t="s">
        <v>102</v>
      </c>
      <c r="D1062" s="27" t="s">
        <v>73</v>
      </c>
      <c r="G1062" s="28">
        <v>84500</v>
      </c>
      <c r="H1062" s="26">
        <v>0</v>
      </c>
      <c r="I1062" s="26">
        <v>29</v>
      </c>
      <c r="J1062" s="36">
        <v>0</v>
      </c>
      <c r="K1062" s="34">
        <v>2014</v>
      </c>
      <c r="L1062" s="34">
        <v>9</v>
      </c>
      <c r="M1062" s="34">
        <v>19</v>
      </c>
      <c r="N1062" s="26"/>
    </row>
    <row r="1063" spans="1:14">
      <c r="A1063" s="26">
        <v>112314</v>
      </c>
      <c r="B1063" s="27" t="s">
        <v>853</v>
      </c>
      <c r="C1063" s="26" t="s">
        <v>64</v>
      </c>
      <c r="D1063" s="27" t="s">
        <v>73</v>
      </c>
      <c r="G1063" s="28">
        <v>0</v>
      </c>
      <c r="H1063" s="26">
        <v>84500</v>
      </c>
      <c r="I1063" s="26">
        <v>29</v>
      </c>
      <c r="J1063" s="36">
        <v>0</v>
      </c>
      <c r="K1063" s="34">
        <v>2014</v>
      </c>
      <c r="L1063" s="34">
        <v>9</v>
      </c>
      <c r="M1063" s="34">
        <v>19</v>
      </c>
      <c r="N1063" s="26"/>
    </row>
    <row r="1064" spans="1:14">
      <c r="A1064" s="26">
        <v>140501</v>
      </c>
      <c r="B1064" s="27" t="s">
        <v>854</v>
      </c>
      <c r="C1064" s="26" t="s">
        <v>89</v>
      </c>
      <c r="D1064" s="27" t="s">
        <v>199</v>
      </c>
      <c r="G1064" s="28">
        <v>400</v>
      </c>
      <c r="H1064" s="26">
        <v>0</v>
      </c>
      <c r="I1064" s="26">
        <v>30</v>
      </c>
      <c r="J1064" s="36">
        <v>2</v>
      </c>
      <c r="K1064" s="34">
        <v>2014</v>
      </c>
      <c r="L1064" s="34">
        <v>9</v>
      </c>
      <c r="M1064" s="34">
        <v>19</v>
      </c>
      <c r="N1064" s="26"/>
    </row>
    <row r="1065" spans="1:14">
      <c r="A1065" s="26">
        <v>140501</v>
      </c>
      <c r="B1065" s="27" t="s">
        <v>854</v>
      </c>
      <c r="C1065" s="26" t="s">
        <v>89</v>
      </c>
      <c r="D1065" s="27" t="s">
        <v>199</v>
      </c>
      <c r="G1065" s="28">
        <v>68</v>
      </c>
      <c r="H1065" s="26">
        <v>0</v>
      </c>
      <c r="I1065" s="26">
        <v>30</v>
      </c>
      <c r="J1065" s="36">
        <v>2</v>
      </c>
      <c r="K1065" s="34">
        <v>2014</v>
      </c>
      <c r="L1065" s="34">
        <v>9</v>
      </c>
      <c r="M1065" s="34">
        <v>19</v>
      </c>
      <c r="N1065" s="26"/>
    </row>
    <row r="1066" spans="1:14">
      <c r="A1066" s="26">
        <v>100201</v>
      </c>
      <c r="B1066" s="27" t="s">
        <v>855</v>
      </c>
      <c r="C1066" s="26" t="s">
        <v>47</v>
      </c>
      <c r="D1066" s="27" t="s">
        <v>48</v>
      </c>
      <c r="G1066" s="28">
        <v>0</v>
      </c>
      <c r="H1066" s="26">
        <v>468</v>
      </c>
      <c r="I1066" s="26">
        <v>30</v>
      </c>
      <c r="J1066" s="36">
        <v>2</v>
      </c>
      <c r="K1066" s="34">
        <v>2014</v>
      </c>
      <c r="L1066" s="34">
        <v>9</v>
      </c>
      <c r="M1066" s="34">
        <v>19</v>
      </c>
      <c r="N1066" s="26"/>
    </row>
    <row r="1067" spans="1:14">
      <c r="A1067" s="26">
        <v>500101</v>
      </c>
      <c r="B1067" s="27" t="s">
        <v>856</v>
      </c>
      <c r="C1067" s="26" t="s">
        <v>157</v>
      </c>
      <c r="D1067" s="27" t="s">
        <v>158</v>
      </c>
      <c r="G1067" s="28">
        <v>0</v>
      </c>
      <c r="H1067" s="26">
        <v>7408.55</v>
      </c>
      <c r="I1067" s="26">
        <v>31</v>
      </c>
      <c r="J1067" s="36">
        <v>1</v>
      </c>
      <c r="K1067" s="34">
        <v>2014</v>
      </c>
      <c r="L1067" s="34">
        <v>9</v>
      </c>
      <c r="M1067" s="34">
        <v>24</v>
      </c>
      <c r="N1067" s="26"/>
    </row>
    <row r="1068" spans="1:14">
      <c r="A1068" s="26">
        <v>222125</v>
      </c>
      <c r="B1068" s="27" t="s">
        <v>856</v>
      </c>
      <c r="C1068" s="26" t="s">
        <v>126</v>
      </c>
      <c r="D1068" s="27" t="s">
        <v>136</v>
      </c>
      <c r="G1068" s="28">
        <v>0</v>
      </c>
      <c r="H1068" s="26">
        <v>1259.45</v>
      </c>
      <c r="I1068" s="26">
        <v>31</v>
      </c>
      <c r="J1068" s="36">
        <v>1</v>
      </c>
      <c r="K1068" s="34">
        <v>2014</v>
      </c>
      <c r="L1068" s="34">
        <v>9</v>
      </c>
      <c r="M1068" s="34">
        <v>24</v>
      </c>
      <c r="N1068" s="26"/>
    </row>
    <row r="1069" spans="1:14">
      <c r="A1069" s="26">
        <v>112209</v>
      </c>
      <c r="B1069" s="27" t="s">
        <v>857</v>
      </c>
      <c r="C1069" s="26" t="s">
        <v>49</v>
      </c>
      <c r="D1069" s="27" t="s">
        <v>58</v>
      </c>
      <c r="G1069" s="28">
        <v>8668</v>
      </c>
      <c r="H1069" s="26">
        <v>0</v>
      </c>
      <c r="I1069" s="26">
        <v>31</v>
      </c>
      <c r="J1069" s="36">
        <v>1</v>
      </c>
      <c r="K1069" s="34">
        <v>2014</v>
      </c>
      <c r="L1069" s="34">
        <v>9</v>
      </c>
      <c r="M1069" s="34">
        <v>24</v>
      </c>
      <c r="N1069" s="26"/>
    </row>
    <row r="1070" spans="1:14">
      <c r="A1070" s="26">
        <v>440105</v>
      </c>
      <c r="B1070" s="27" t="s">
        <v>858</v>
      </c>
      <c r="C1070" s="26" t="s">
        <v>149</v>
      </c>
      <c r="D1070" s="27" t="s">
        <v>154</v>
      </c>
      <c r="G1070" s="28">
        <v>4023.4</v>
      </c>
      <c r="H1070" s="26">
        <v>0</v>
      </c>
      <c r="I1070" s="26">
        <v>32</v>
      </c>
      <c r="J1070" s="36">
        <v>2</v>
      </c>
      <c r="K1070" s="34">
        <v>2014</v>
      </c>
      <c r="L1070" s="34">
        <v>9</v>
      </c>
      <c r="M1070" s="34">
        <v>24</v>
      </c>
      <c r="N1070" s="26"/>
    </row>
    <row r="1071" spans="1:14">
      <c r="A1071" s="26">
        <v>222121</v>
      </c>
      <c r="B1071" s="27" t="s">
        <v>858</v>
      </c>
      <c r="C1071" s="26" t="s">
        <v>126</v>
      </c>
      <c r="D1071" s="27" t="s">
        <v>133</v>
      </c>
      <c r="G1071" s="28">
        <v>56.6</v>
      </c>
      <c r="H1071" s="26">
        <v>0</v>
      </c>
      <c r="I1071" s="26">
        <v>32</v>
      </c>
      <c r="J1071" s="36">
        <v>2</v>
      </c>
      <c r="K1071" s="34">
        <v>2014</v>
      </c>
      <c r="L1071" s="34">
        <v>9</v>
      </c>
      <c r="M1071" s="34">
        <v>24</v>
      </c>
      <c r="N1071" s="26"/>
    </row>
    <row r="1072" spans="1:14">
      <c r="A1072" s="26">
        <v>100101</v>
      </c>
      <c r="B1072" s="27" t="s">
        <v>859</v>
      </c>
      <c r="C1072" s="26" t="s">
        <v>46</v>
      </c>
      <c r="D1072" s="27" t="s">
        <v>199</v>
      </c>
      <c r="G1072" s="28">
        <v>0</v>
      </c>
      <c r="H1072" s="26">
        <v>4080</v>
      </c>
      <c r="I1072" s="26">
        <v>32</v>
      </c>
      <c r="J1072" s="36">
        <v>2</v>
      </c>
      <c r="K1072" s="34">
        <v>2014</v>
      </c>
      <c r="L1072" s="34">
        <v>9</v>
      </c>
      <c r="M1072" s="34">
        <v>24</v>
      </c>
      <c r="N1072" s="26"/>
    </row>
    <row r="1073" spans="1:14">
      <c r="A1073" s="26">
        <v>112210</v>
      </c>
      <c r="B1073" s="27" t="s">
        <v>860</v>
      </c>
      <c r="C1073" s="26" t="s">
        <v>49</v>
      </c>
      <c r="D1073" s="27" t="s">
        <v>59</v>
      </c>
      <c r="G1073" s="28">
        <v>68000</v>
      </c>
      <c r="H1073" s="26">
        <v>0</v>
      </c>
      <c r="I1073" s="26">
        <v>33</v>
      </c>
      <c r="J1073" s="36">
        <v>3</v>
      </c>
      <c r="K1073" s="34">
        <v>2014</v>
      </c>
      <c r="L1073" s="34">
        <v>9</v>
      </c>
      <c r="M1073" s="34">
        <v>24</v>
      </c>
      <c r="N1073" s="26"/>
    </row>
    <row r="1074" spans="1:14">
      <c r="A1074" s="26">
        <v>500103</v>
      </c>
      <c r="B1074" s="27" t="s">
        <v>861</v>
      </c>
      <c r="C1074" s="26" t="s">
        <v>157</v>
      </c>
      <c r="D1074" s="27" t="s">
        <v>160</v>
      </c>
      <c r="G1074" s="28">
        <v>0</v>
      </c>
      <c r="H1074" s="26">
        <v>68000</v>
      </c>
      <c r="I1074" s="26">
        <v>33</v>
      </c>
      <c r="J1074" s="36">
        <v>3</v>
      </c>
      <c r="K1074" s="34">
        <v>2014</v>
      </c>
      <c r="L1074" s="34">
        <v>9</v>
      </c>
      <c r="M1074" s="34">
        <v>24</v>
      </c>
      <c r="N1074" s="26"/>
    </row>
    <row r="1075" spans="1:14">
      <c r="A1075" s="26">
        <v>540304</v>
      </c>
      <c r="B1075" s="27" t="s">
        <v>862</v>
      </c>
      <c r="C1075" s="26" t="s">
        <v>165</v>
      </c>
      <c r="D1075" s="27" t="s">
        <v>128</v>
      </c>
      <c r="G1075" s="28">
        <v>2040</v>
      </c>
      <c r="H1075" s="26">
        <v>0</v>
      </c>
      <c r="I1075" s="26">
        <v>34</v>
      </c>
      <c r="J1075" s="36">
        <v>2</v>
      </c>
      <c r="K1075" s="34">
        <v>2014</v>
      </c>
      <c r="L1075" s="34">
        <v>9</v>
      </c>
      <c r="M1075" s="34">
        <v>24</v>
      </c>
      <c r="N1075" s="26"/>
    </row>
    <row r="1076" spans="1:14">
      <c r="A1076" s="26">
        <v>540301</v>
      </c>
      <c r="B1076" s="27" t="s">
        <v>862</v>
      </c>
      <c r="C1076" s="26" t="s">
        <v>165</v>
      </c>
      <c r="D1076" s="27" t="s">
        <v>129</v>
      </c>
      <c r="G1076" s="28">
        <v>142.8</v>
      </c>
      <c r="H1076" s="26">
        <v>0</v>
      </c>
      <c r="I1076" s="26">
        <v>34</v>
      </c>
      <c r="J1076" s="36">
        <v>2</v>
      </c>
      <c r="K1076" s="34">
        <v>2014</v>
      </c>
      <c r="L1076" s="34">
        <v>9</v>
      </c>
      <c r="M1076" s="34">
        <v>24</v>
      </c>
      <c r="N1076" s="26"/>
    </row>
    <row r="1077" spans="1:14">
      <c r="A1077" s="26">
        <v>540302</v>
      </c>
      <c r="B1077" s="27" t="s">
        <v>862</v>
      </c>
      <c r="C1077" s="26" t="s">
        <v>165</v>
      </c>
      <c r="D1077" s="27" t="s">
        <v>130</v>
      </c>
      <c r="G1077" s="28">
        <v>102</v>
      </c>
      <c r="H1077" s="26">
        <v>0</v>
      </c>
      <c r="I1077" s="26">
        <v>34</v>
      </c>
      <c r="J1077" s="36">
        <v>2</v>
      </c>
      <c r="K1077" s="34">
        <v>2014</v>
      </c>
      <c r="L1077" s="34">
        <v>9</v>
      </c>
      <c r="M1077" s="34">
        <v>24</v>
      </c>
      <c r="N1077" s="26"/>
    </row>
    <row r="1078" spans="1:14">
      <c r="A1078" s="26">
        <v>580101</v>
      </c>
      <c r="B1078" s="27" t="s">
        <v>862</v>
      </c>
      <c r="C1078" s="26" t="s">
        <v>183</v>
      </c>
      <c r="D1078" s="27" t="s">
        <v>199</v>
      </c>
      <c r="G1078" s="28">
        <v>544</v>
      </c>
      <c r="H1078" s="26">
        <v>0</v>
      </c>
      <c r="I1078" s="26">
        <v>34</v>
      </c>
      <c r="J1078" s="36">
        <v>2</v>
      </c>
      <c r="K1078" s="34">
        <v>2014</v>
      </c>
      <c r="L1078" s="34">
        <v>9</v>
      </c>
      <c r="M1078" s="34">
        <v>24</v>
      </c>
      <c r="N1078" s="26"/>
    </row>
    <row r="1079" spans="1:14">
      <c r="A1079" s="26">
        <v>540303</v>
      </c>
      <c r="B1079" s="27" t="s">
        <v>862</v>
      </c>
      <c r="C1079" s="26" t="s">
        <v>165</v>
      </c>
      <c r="D1079" s="27" t="s">
        <v>131</v>
      </c>
      <c r="G1079" s="28">
        <v>20.4</v>
      </c>
      <c r="H1079" s="26">
        <v>0</v>
      </c>
      <c r="I1079" s="26">
        <v>34</v>
      </c>
      <c r="J1079" s="36">
        <v>2</v>
      </c>
      <c r="K1079" s="34">
        <v>2014</v>
      </c>
      <c r="L1079" s="34">
        <v>9</v>
      </c>
      <c r="M1079" s="34">
        <v>24</v>
      </c>
      <c r="N1079" s="26"/>
    </row>
    <row r="1080" spans="1:14">
      <c r="A1080" s="26">
        <v>560206</v>
      </c>
      <c r="B1080" s="27" t="s">
        <v>862</v>
      </c>
      <c r="C1080" s="26" t="s">
        <v>166</v>
      </c>
      <c r="D1080" s="27" t="s">
        <v>172</v>
      </c>
      <c r="G1080" s="28">
        <v>68</v>
      </c>
      <c r="H1080" s="26">
        <v>0</v>
      </c>
      <c r="I1080" s="26">
        <v>34</v>
      </c>
      <c r="J1080" s="36">
        <v>2</v>
      </c>
      <c r="K1080" s="34">
        <v>2014</v>
      </c>
      <c r="L1080" s="34">
        <v>9</v>
      </c>
      <c r="M1080" s="34">
        <v>24</v>
      </c>
      <c r="N1080" s="26"/>
    </row>
    <row r="1081" spans="1:14">
      <c r="A1081" s="26">
        <v>222102</v>
      </c>
      <c r="B1081" s="27" t="s">
        <v>862</v>
      </c>
      <c r="C1081" s="26" t="s">
        <v>126</v>
      </c>
      <c r="D1081" s="27" t="s">
        <v>128</v>
      </c>
      <c r="G1081" s="28">
        <v>0</v>
      </c>
      <c r="H1081" s="26">
        <v>2040</v>
      </c>
      <c r="I1081" s="26">
        <v>34</v>
      </c>
      <c r="J1081" s="36">
        <v>2</v>
      </c>
      <c r="K1081" s="34">
        <v>2014</v>
      </c>
      <c r="L1081" s="34">
        <v>9</v>
      </c>
      <c r="M1081" s="34">
        <v>24</v>
      </c>
      <c r="N1081" s="26"/>
    </row>
    <row r="1082" spans="1:14">
      <c r="A1082" s="26">
        <v>222103</v>
      </c>
      <c r="B1082" s="27" t="s">
        <v>862</v>
      </c>
      <c r="C1082" s="26" t="s">
        <v>126</v>
      </c>
      <c r="D1082" s="27" t="s">
        <v>129</v>
      </c>
      <c r="G1082" s="28">
        <v>0</v>
      </c>
      <c r="H1082" s="26">
        <v>142.8</v>
      </c>
      <c r="I1082" s="26">
        <v>34</v>
      </c>
      <c r="J1082" s="36">
        <v>2</v>
      </c>
      <c r="K1082" s="34">
        <v>2014</v>
      </c>
      <c r="L1082" s="34">
        <v>9</v>
      </c>
      <c r="M1082" s="34">
        <v>24</v>
      </c>
      <c r="N1082" s="26"/>
    </row>
    <row r="1083" spans="1:14">
      <c r="A1083" s="26">
        <v>222104</v>
      </c>
      <c r="B1083" s="27" t="s">
        <v>862</v>
      </c>
      <c r="C1083" s="26" t="s">
        <v>126</v>
      </c>
      <c r="D1083" s="27" t="s">
        <v>130</v>
      </c>
      <c r="G1083" s="28">
        <v>0</v>
      </c>
      <c r="H1083" s="26">
        <v>102</v>
      </c>
      <c r="I1083" s="26">
        <v>34</v>
      </c>
      <c r="J1083" s="36">
        <v>2</v>
      </c>
      <c r="K1083" s="34">
        <v>2014</v>
      </c>
      <c r="L1083" s="34">
        <v>9</v>
      </c>
      <c r="M1083" s="34">
        <v>24</v>
      </c>
      <c r="N1083" s="26"/>
    </row>
    <row r="1084" spans="1:14">
      <c r="A1084" s="26">
        <v>222106</v>
      </c>
      <c r="B1084" s="27" t="s">
        <v>862</v>
      </c>
      <c r="C1084" s="26" t="s">
        <v>126</v>
      </c>
      <c r="D1084" s="27" t="s">
        <v>132</v>
      </c>
      <c r="G1084" s="28">
        <v>0</v>
      </c>
      <c r="H1084" s="26">
        <v>544</v>
      </c>
      <c r="I1084" s="26">
        <v>34</v>
      </c>
      <c r="J1084" s="36">
        <v>2</v>
      </c>
      <c r="K1084" s="34">
        <v>2014</v>
      </c>
      <c r="L1084" s="34">
        <v>9</v>
      </c>
      <c r="M1084" s="34">
        <v>24</v>
      </c>
      <c r="N1084" s="26"/>
    </row>
    <row r="1085" spans="1:14">
      <c r="A1085" s="26">
        <v>224104</v>
      </c>
      <c r="B1085" s="27" t="s">
        <v>862</v>
      </c>
      <c r="C1085" s="26" t="s">
        <v>140</v>
      </c>
      <c r="D1085" s="27" t="s">
        <v>142</v>
      </c>
      <c r="G1085" s="28">
        <v>0</v>
      </c>
      <c r="H1085" s="26">
        <v>68</v>
      </c>
      <c r="I1085" s="26">
        <v>34</v>
      </c>
      <c r="J1085" s="36">
        <v>2</v>
      </c>
      <c r="K1085" s="34">
        <v>2014</v>
      </c>
      <c r="L1085" s="34">
        <v>9</v>
      </c>
      <c r="M1085" s="34">
        <v>24</v>
      </c>
      <c r="N1085" s="26"/>
    </row>
    <row r="1086" spans="1:14">
      <c r="A1086" s="26">
        <v>222105</v>
      </c>
      <c r="B1086" s="27" t="s">
        <v>862</v>
      </c>
      <c r="C1086" s="26" t="s">
        <v>126</v>
      </c>
      <c r="D1086" s="27" t="s">
        <v>131</v>
      </c>
      <c r="G1086" s="28">
        <v>0</v>
      </c>
      <c r="H1086" s="26">
        <v>20.4</v>
      </c>
      <c r="I1086" s="26">
        <v>34</v>
      </c>
      <c r="J1086" s="36">
        <v>2</v>
      </c>
      <c r="K1086" s="34">
        <v>2014</v>
      </c>
      <c r="L1086" s="34">
        <v>9</v>
      </c>
      <c r="M1086" s="34">
        <v>24</v>
      </c>
      <c r="N1086" s="26"/>
    </row>
    <row r="1087" spans="1:14">
      <c r="A1087" s="26">
        <v>222102</v>
      </c>
      <c r="B1087" s="27" t="s">
        <v>863</v>
      </c>
      <c r="C1087" s="26" t="s">
        <v>126</v>
      </c>
      <c r="D1087" s="27" t="s">
        <v>128</v>
      </c>
      <c r="G1087" s="28">
        <v>2040</v>
      </c>
      <c r="H1087" s="26">
        <v>0</v>
      </c>
      <c r="I1087" s="26">
        <v>35</v>
      </c>
      <c r="J1087" s="36">
        <v>2</v>
      </c>
      <c r="K1087" s="34">
        <v>2014</v>
      </c>
      <c r="L1087" s="34">
        <v>9</v>
      </c>
      <c r="M1087" s="34">
        <v>24</v>
      </c>
      <c r="N1087" s="26"/>
    </row>
    <row r="1088" spans="1:14">
      <c r="A1088" s="26">
        <v>222103</v>
      </c>
      <c r="B1088" s="27" t="s">
        <v>863</v>
      </c>
      <c r="C1088" s="26" t="s">
        <v>126</v>
      </c>
      <c r="D1088" s="27" t="s">
        <v>129</v>
      </c>
      <c r="G1088" s="28">
        <v>142.8</v>
      </c>
      <c r="H1088" s="26">
        <v>0</v>
      </c>
      <c r="I1088" s="26">
        <v>35</v>
      </c>
      <c r="J1088" s="36">
        <v>2</v>
      </c>
      <c r="K1088" s="34">
        <v>2014</v>
      </c>
      <c r="L1088" s="34">
        <v>9</v>
      </c>
      <c r="M1088" s="34">
        <v>24</v>
      </c>
      <c r="N1088" s="26"/>
    </row>
    <row r="1089" spans="1:14">
      <c r="A1089" s="26">
        <v>222104</v>
      </c>
      <c r="B1089" s="27" t="s">
        <v>863</v>
      </c>
      <c r="C1089" s="26" t="s">
        <v>126</v>
      </c>
      <c r="D1089" s="27" t="s">
        <v>130</v>
      </c>
      <c r="G1089" s="28">
        <v>102</v>
      </c>
      <c r="H1089" s="26">
        <v>0</v>
      </c>
      <c r="I1089" s="26">
        <v>35</v>
      </c>
      <c r="J1089" s="36">
        <v>2</v>
      </c>
      <c r="K1089" s="34">
        <v>2014</v>
      </c>
      <c r="L1089" s="34">
        <v>9</v>
      </c>
      <c r="M1089" s="34">
        <v>24</v>
      </c>
      <c r="N1089" s="26"/>
    </row>
    <row r="1090" spans="1:14">
      <c r="A1090" s="26">
        <v>222106</v>
      </c>
      <c r="B1090" s="27" t="s">
        <v>863</v>
      </c>
      <c r="C1090" s="26" t="s">
        <v>126</v>
      </c>
      <c r="D1090" s="27" t="s">
        <v>132</v>
      </c>
      <c r="G1090" s="28">
        <v>544</v>
      </c>
      <c r="H1090" s="26">
        <v>0</v>
      </c>
      <c r="I1090" s="26">
        <v>35</v>
      </c>
      <c r="J1090" s="36">
        <v>2</v>
      </c>
      <c r="K1090" s="34">
        <v>2014</v>
      </c>
      <c r="L1090" s="34">
        <v>9</v>
      </c>
      <c r="M1090" s="34">
        <v>24</v>
      </c>
      <c r="N1090" s="26"/>
    </row>
    <row r="1091" spans="1:14">
      <c r="A1091" s="26">
        <v>224104</v>
      </c>
      <c r="B1091" s="27" t="s">
        <v>863</v>
      </c>
      <c r="C1091" s="26" t="s">
        <v>140</v>
      </c>
      <c r="D1091" s="27" t="s">
        <v>142</v>
      </c>
      <c r="G1091" s="28">
        <v>68</v>
      </c>
      <c r="H1091" s="26">
        <v>0</v>
      </c>
      <c r="I1091" s="26">
        <v>35</v>
      </c>
      <c r="J1091" s="36">
        <v>2</v>
      </c>
      <c r="K1091" s="34">
        <v>2014</v>
      </c>
      <c r="L1091" s="34">
        <v>9</v>
      </c>
      <c r="M1091" s="34">
        <v>24</v>
      </c>
      <c r="N1091" s="26"/>
    </row>
    <row r="1092" spans="1:14">
      <c r="A1092" s="26">
        <v>222105</v>
      </c>
      <c r="B1092" s="27" t="s">
        <v>863</v>
      </c>
      <c r="C1092" s="26" t="s">
        <v>126</v>
      </c>
      <c r="D1092" s="27" t="s">
        <v>131</v>
      </c>
      <c r="G1092" s="28">
        <v>20.4</v>
      </c>
      <c r="H1092" s="26">
        <v>0</v>
      </c>
      <c r="I1092" s="26">
        <v>35</v>
      </c>
      <c r="J1092" s="36">
        <v>2</v>
      </c>
      <c r="K1092" s="34">
        <v>2014</v>
      </c>
      <c r="L1092" s="34">
        <v>9</v>
      </c>
      <c r="M1092" s="34">
        <v>24</v>
      </c>
      <c r="N1092" s="26"/>
    </row>
    <row r="1093" spans="1:14">
      <c r="A1093" s="26">
        <v>100101</v>
      </c>
      <c r="B1093" s="27" t="s">
        <v>864</v>
      </c>
      <c r="C1093" s="26" t="s">
        <v>46</v>
      </c>
      <c r="D1093" s="27" t="s">
        <v>199</v>
      </c>
      <c r="G1093" s="28">
        <v>0</v>
      </c>
      <c r="H1093" s="26">
        <v>-4080</v>
      </c>
      <c r="I1093" s="26">
        <v>35</v>
      </c>
      <c r="J1093" s="36">
        <v>2</v>
      </c>
      <c r="K1093" s="34">
        <v>2014</v>
      </c>
      <c r="L1093" s="34">
        <v>9</v>
      </c>
      <c r="M1093" s="34">
        <v>24</v>
      </c>
      <c r="N1093" s="26"/>
    </row>
    <row r="1094" spans="1:14">
      <c r="A1094" s="26">
        <v>100101</v>
      </c>
      <c r="B1094" s="27" t="s">
        <v>863</v>
      </c>
      <c r="C1094" s="26" t="s">
        <v>46</v>
      </c>
      <c r="D1094" s="27" t="s">
        <v>199</v>
      </c>
      <c r="G1094" s="28">
        <v>582.8</v>
      </c>
      <c r="H1094" s="26">
        <v>0</v>
      </c>
      <c r="I1094" s="26">
        <v>35</v>
      </c>
      <c r="J1094" s="36">
        <v>2</v>
      </c>
      <c r="K1094" s="34">
        <v>2014</v>
      </c>
      <c r="L1094" s="34">
        <v>9</v>
      </c>
      <c r="M1094" s="34">
        <v>24</v>
      </c>
      <c r="N1094" s="26"/>
    </row>
    <row r="1095" spans="1:14">
      <c r="A1095" s="26">
        <v>224101</v>
      </c>
      <c r="B1095" s="27" t="s">
        <v>863</v>
      </c>
      <c r="C1095" s="26" t="s">
        <v>140</v>
      </c>
      <c r="D1095" s="27" t="s">
        <v>12</v>
      </c>
      <c r="G1095" s="28">
        <v>0</v>
      </c>
      <c r="H1095" s="26">
        <v>7580</v>
      </c>
      <c r="I1095" s="26">
        <v>35</v>
      </c>
      <c r="J1095" s="36">
        <v>2</v>
      </c>
      <c r="K1095" s="34">
        <v>2014</v>
      </c>
      <c r="L1095" s="34">
        <v>9</v>
      </c>
      <c r="M1095" s="34">
        <v>24</v>
      </c>
      <c r="N1095" s="26"/>
    </row>
    <row r="1096" spans="1:14">
      <c r="A1096" s="26">
        <v>112210</v>
      </c>
      <c r="B1096" s="27" t="s">
        <v>865</v>
      </c>
      <c r="C1096" s="26" t="s">
        <v>49</v>
      </c>
      <c r="D1096" s="27" t="s">
        <v>59</v>
      </c>
      <c r="G1096" s="28">
        <v>348000</v>
      </c>
      <c r="H1096" s="26">
        <v>0</v>
      </c>
      <c r="I1096" s="26">
        <v>36</v>
      </c>
      <c r="J1096" s="36">
        <v>4</v>
      </c>
      <c r="K1096" s="34">
        <v>2014</v>
      </c>
      <c r="L1096" s="34">
        <v>9</v>
      </c>
      <c r="M1096" s="34">
        <v>24</v>
      </c>
      <c r="N1096" s="26"/>
    </row>
    <row r="1097" spans="1:14">
      <c r="A1097" s="26">
        <v>500101</v>
      </c>
      <c r="B1097" s="27" t="s">
        <v>866</v>
      </c>
      <c r="C1097" s="26" t="s">
        <v>157</v>
      </c>
      <c r="D1097" s="27" t="s">
        <v>158</v>
      </c>
      <c r="G1097" s="28">
        <v>0</v>
      </c>
      <c r="H1097" s="26">
        <v>297435.9</v>
      </c>
      <c r="I1097" s="26">
        <v>36</v>
      </c>
      <c r="J1097" s="36">
        <v>4</v>
      </c>
      <c r="K1097" s="34">
        <v>2014</v>
      </c>
      <c r="L1097" s="34">
        <v>9</v>
      </c>
      <c r="M1097" s="34">
        <v>24</v>
      </c>
      <c r="N1097" s="26"/>
    </row>
    <row r="1098" spans="1:14">
      <c r="A1098" s="26">
        <v>222125</v>
      </c>
      <c r="B1098" s="27" t="s">
        <v>866</v>
      </c>
      <c r="C1098" s="26" t="s">
        <v>126</v>
      </c>
      <c r="D1098" s="27" t="s">
        <v>136</v>
      </c>
      <c r="G1098" s="28">
        <v>0</v>
      </c>
      <c r="H1098" s="26">
        <v>50564.1</v>
      </c>
      <c r="I1098" s="26">
        <v>36</v>
      </c>
      <c r="J1098" s="36">
        <v>4</v>
      </c>
      <c r="K1098" s="34">
        <v>2014</v>
      </c>
      <c r="L1098" s="34">
        <v>9</v>
      </c>
      <c r="M1098" s="34">
        <v>24</v>
      </c>
      <c r="N1098" s="26"/>
    </row>
    <row r="1099" spans="1:14">
      <c r="A1099" s="26">
        <v>220301</v>
      </c>
      <c r="B1099" s="27" t="s">
        <v>867</v>
      </c>
      <c r="C1099" s="26" t="s">
        <v>107</v>
      </c>
      <c r="D1099" s="27" t="s">
        <v>59</v>
      </c>
      <c r="G1099" s="28">
        <v>382000</v>
      </c>
      <c r="H1099" s="26">
        <v>0</v>
      </c>
      <c r="I1099" s="26">
        <v>37</v>
      </c>
      <c r="J1099" s="36">
        <v>0</v>
      </c>
      <c r="K1099" s="34">
        <v>2014</v>
      </c>
      <c r="L1099" s="34">
        <v>9</v>
      </c>
      <c r="M1099" s="34">
        <v>24</v>
      </c>
      <c r="N1099" s="26"/>
    </row>
    <row r="1100" spans="1:14">
      <c r="A1100" s="26">
        <v>112210</v>
      </c>
      <c r="B1100" s="27" t="s">
        <v>868</v>
      </c>
      <c r="C1100" s="26" t="s">
        <v>49</v>
      </c>
      <c r="D1100" s="27" t="s">
        <v>59</v>
      </c>
      <c r="G1100" s="28">
        <v>0</v>
      </c>
      <c r="H1100" s="26">
        <v>382000</v>
      </c>
      <c r="I1100" s="26">
        <v>37</v>
      </c>
      <c r="J1100" s="36">
        <v>0</v>
      </c>
      <c r="K1100" s="34">
        <v>2014</v>
      </c>
      <c r="L1100" s="34">
        <v>9</v>
      </c>
      <c r="M1100" s="34">
        <v>24</v>
      </c>
      <c r="N1100" s="26"/>
    </row>
    <row r="1101" spans="1:14">
      <c r="A1101" s="26">
        <v>440107</v>
      </c>
      <c r="B1101" s="27" t="s">
        <v>869</v>
      </c>
      <c r="C1101" s="26" t="s">
        <v>149</v>
      </c>
      <c r="D1101" s="27" t="s">
        <v>156</v>
      </c>
      <c r="G1101" s="28">
        <v>32000</v>
      </c>
      <c r="H1101" s="26">
        <v>0</v>
      </c>
      <c r="I1101" s="26">
        <v>38</v>
      </c>
      <c r="J1101" s="36">
        <v>1</v>
      </c>
      <c r="K1101" s="34">
        <v>2014</v>
      </c>
      <c r="L1101" s="34">
        <v>9</v>
      </c>
      <c r="M1101" s="34">
        <v>24</v>
      </c>
      <c r="N1101" s="26"/>
    </row>
    <row r="1102" spans="1:14">
      <c r="A1102" s="26">
        <v>440106</v>
      </c>
      <c r="B1102" s="27" t="s">
        <v>869</v>
      </c>
      <c r="C1102" s="26" t="s">
        <v>149</v>
      </c>
      <c r="D1102" s="27" t="s">
        <v>354</v>
      </c>
      <c r="G1102" s="28">
        <v>0</v>
      </c>
      <c r="H1102" s="26">
        <v>32000</v>
      </c>
      <c r="I1102" s="26">
        <v>38</v>
      </c>
      <c r="J1102" s="36">
        <v>1</v>
      </c>
      <c r="K1102" s="34">
        <v>2014</v>
      </c>
      <c r="L1102" s="34">
        <v>9</v>
      </c>
      <c r="M1102" s="34">
        <v>24</v>
      </c>
      <c r="N1102" s="26"/>
    </row>
    <row r="1103" spans="1:14">
      <c r="A1103" s="26">
        <v>100201</v>
      </c>
      <c r="B1103" s="27" t="s">
        <v>870</v>
      </c>
      <c r="C1103" s="26" t="s">
        <v>47</v>
      </c>
      <c r="D1103" s="27" t="s">
        <v>48</v>
      </c>
      <c r="G1103" s="28">
        <v>20000</v>
      </c>
      <c r="H1103" s="26">
        <v>0</v>
      </c>
      <c r="I1103" s="26">
        <v>39</v>
      </c>
      <c r="J1103" s="36">
        <v>2</v>
      </c>
      <c r="K1103" s="34">
        <v>2014</v>
      </c>
      <c r="L1103" s="34">
        <v>9</v>
      </c>
      <c r="M1103" s="34">
        <v>29</v>
      </c>
      <c r="N1103" s="26"/>
    </row>
    <row r="1104" spans="1:14">
      <c r="A1104" s="26">
        <v>224101</v>
      </c>
      <c r="B1104" s="27" t="s">
        <v>871</v>
      </c>
      <c r="C1104" s="26" t="s">
        <v>140</v>
      </c>
      <c r="D1104" s="27" t="s">
        <v>12</v>
      </c>
      <c r="G1104" s="28">
        <v>0</v>
      </c>
      <c r="H1104" s="26">
        <v>20000</v>
      </c>
      <c r="I1104" s="26">
        <v>39</v>
      </c>
      <c r="J1104" s="36">
        <v>2</v>
      </c>
      <c r="K1104" s="34">
        <v>2014</v>
      </c>
      <c r="L1104" s="34">
        <v>9</v>
      </c>
      <c r="M1104" s="34">
        <v>29</v>
      </c>
      <c r="N1104" s="26"/>
    </row>
    <row r="1105" spans="1:14">
      <c r="A1105" s="26">
        <v>122104</v>
      </c>
      <c r="B1105" s="27" t="s">
        <v>872</v>
      </c>
      <c r="C1105" s="26" t="s">
        <v>78</v>
      </c>
      <c r="D1105" s="27" t="s">
        <v>82</v>
      </c>
      <c r="G1105" s="28">
        <v>20000</v>
      </c>
      <c r="H1105" s="26">
        <v>0</v>
      </c>
      <c r="I1105" s="26">
        <v>40</v>
      </c>
      <c r="J1105" s="36">
        <v>1</v>
      </c>
      <c r="K1105" s="34">
        <v>2014</v>
      </c>
      <c r="L1105" s="34">
        <v>9</v>
      </c>
      <c r="M1105" s="34">
        <v>29</v>
      </c>
      <c r="N1105" s="26"/>
    </row>
    <row r="1106" spans="1:14">
      <c r="A1106" s="26">
        <v>100201</v>
      </c>
      <c r="B1106" s="27" t="s">
        <v>873</v>
      </c>
      <c r="C1106" s="26" t="s">
        <v>47</v>
      </c>
      <c r="D1106" s="27" t="s">
        <v>48</v>
      </c>
      <c r="G1106" s="28">
        <v>0</v>
      </c>
      <c r="H1106" s="26">
        <v>20000</v>
      </c>
      <c r="I1106" s="26">
        <v>40</v>
      </c>
      <c r="J1106" s="36">
        <v>1</v>
      </c>
      <c r="K1106" s="34">
        <v>2014</v>
      </c>
      <c r="L1106" s="34">
        <v>9</v>
      </c>
      <c r="M1106" s="34">
        <v>29</v>
      </c>
      <c r="N1106" s="26"/>
    </row>
    <row r="1107" spans="1:14">
      <c r="A1107" s="26">
        <v>122104</v>
      </c>
      <c r="B1107" s="27" t="s">
        <v>874</v>
      </c>
      <c r="C1107" s="26" t="s">
        <v>78</v>
      </c>
      <c r="D1107" s="27" t="s">
        <v>82</v>
      </c>
      <c r="G1107" s="28">
        <v>15000</v>
      </c>
      <c r="H1107" s="26">
        <v>0</v>
      </c>
      <c r="I1107" s="26">
        <v>41</v>
      </c>
      <c r="J1107" s="36">
        <v>1</v>
      </c>
      <c r="K1107" s="34">
        <v>2014</v>
      </c>
      <c r="L1107" s="34">
        <v>9</v>
      </c>
      <c r="M1107" s="34">
        <v>29</v>
      </c>
      <c r="N1107" s="26"/>
    </row>
    <row r="1108" spans="1:14">
      <c r="A1108" s="26">
        <v>100201</v>
      </c>
      <c r="B1108" s="27" t="s">
        <v>875</v>
      </c>
      <c r="C1108" s="26" t="s">
        <v>47</v>
      </c>
      <c r="D1108" s="27" t="s">
        <v>48</v>
      </c>
      <c r="G1108" s="28">
        <v>0</v>
      </c>
      <c r="H1108" s="26">
        <v>15000</v>
      </c>
      <c r="I1108" s="26">
        <v>41</v>
      </c>
      <c r="J1108" s="36">
        <v>1</v>
      </c>
      <c r="K1108" s="34">
        <v>2014</v>
      </c>
      <c r="L1108" s="34">
        <v>9</v>
      </c>
      <c r="M1108" s="34">
        <v>29</v>
      </c>
      <c r="N1108" s="26"/>
    </row>
    <row r="1109" spans="1:14">
      <c r="A1109" s="26">
        <v>100201</v>
      </c>
      <c r="B1109" s="27" t="s">
        <v>876</v>
      </c>
      <c r="C1109" s="26" t="s">
        <v>47</v>
      </c>
      <c r="D1109" s="27" t="s">
        <v>48</v>
      </c>
      <c r="G1109" s="28">
        <v>15200</v>
      </c>
      <c r="H1109" s="26">
        <v>0</v>
      </c>
      <c r="I1109" s="26">
        <v>42</v>
      </c>
      <c r="J1109" s="36">
        <v>1</v>
      </c>
      <c r="K1109" s="34">
        <v>2014</v>
      </c>
      <c r="L1109" s="34">
        <v>9</v>
      </c>
      <c r="M1109" s="34">
        <v>29</v>
      </c>
      <c r="N1109" s="26"/>
    </row>
    <row r="1110" spans="1:14">
      <c r="A1110" s="26">
        <v>224101</v>
      </c>
      <c r="B1110" s="27" t="s">
        <v>877</v>
      </c>
      <c r="C1110" s="26" t="s">
        <v>140</v>
      </c>
      <c r="D1110" s="27" t="s">
        <v>12</v>
      </c>
      <c r="G1110" s="28">
        <v>0</v>
      </c>
      <c r="H1110" s="26">
        <v>15200</v>
      </c>
      <c r="I1110" s="26">
        <v>42</v>
      </c>
      <c r="J1110" s="36">
        <v>1</v>
      </c>
      <c r="K1110" s="34">
        <v>2014</v>
      </c>
      <c r="L1110" s="34">
        <v>9</v>
      </c>
      <c r="M1110" s="34">
        <v>29</v>
      </c>
      <c r="N1110" s="26"/>
    </row>
    <row r="1111" spans="1:14">
      <c r="A1111" s="26">
        <v>560301</v>
      </c>
      <c r="B1111" s="27" t="s">
        <v>878</v>
      </c>
      <c r="C1111" s="26" t="s">
        <v>177</v>
      </c>
      <c r="D1111" s="27" t="s">
        <v>199</v>
      </c>
      <c r="G1111" s="28">
        <v>11.48</v>
      </c>
      <c r="H1111" s="26">
        <v>0</v>
      </c>
      <c r="I1111" s="26">
        <v>43</v>
      </c>
      <c r="J1111" s="36">
        <v>2</v>
      </c>
      <c r="K1111" s="34">
        <v>2014</v>
      </c>
      <c r="L1111" s="34">
        <v>9</v>
      </c>
      <c r="M1111" s="34">
        <v>29</v>
      </c>
      <c r="N1111" s="26"/>
    </row>
    <row r="1112" spans="1:14">
      <c r="A1112" s="26">
        <v>100201</v>
      </c>
      <c r="B1112" s="27" t="s">
        <v>879</v>
      </c>
      <c r="C1112" s="26" t="s">
        <v>47</v>
      </c>
      <c r="D1112" s="27" t="s">
        <v>48</v>
      </c>
      <c r="G1112" s="28">
        <v>0</v>
      </c>
      <c r="H1112" s="26">
        <v>10</v>
      </c>
      <c r="I1112" s="26">
        <v>43</v>
      </c>
      <c r="J1112" s="36">
        <v>2</v>
      </c>
      <c r="K1112" s="34">
        <v>2014</v>
      </c>
      <c r="L1112" s="34">
        <v>9</v>
      </c>
      <c r="M1112" s="34">
        <v>29</v>
      </c>
      <c r="N1112" s="26"/>
    </row>
    <row r="1113" spans="1:14">
      <c r="A1113" s="26">
        <v>100201</v>
      </c>
      <c r="B1113" s="27" t="s">
        <v>880</v>
      </c>
      <c r="C1113" s="26" t="s">
        <v>47</v>
      </c>
      <c r="D1113" s="27" t="s">
        <v>48</v>
      </c>
      <c r="G1113" s="28">
        <v>0</v>
      </c>
      <c r="H1113" s="26">
        <v>1.48</v>
      </c>
      <c r="I1113" s="26">
        <v>43</v>
      </c>
      <c r="J1113" s="36">
        <v>2</v>
      </c>
      <c r="K1113" s="34">
        <v>2014</v>
      </c>
      <c r="L1113" s="34">
        <v>9</v>
      </c>
      <c r="M1113" s="34">
        <v>29</v>
      </c>
      <c r="N1113" s="26"/>
    </row>
    <row r="1114" spans="1:14">
      <c r="A1114" s="26">
        <v>540101</v>
      </c>
      <c r="B1114" s="27" t="s">
        <v>881</v>
      </c>
      <c r="C1114" s="26" t="s">
        <v>161</v>
      </c>
      <c r="D1114" s="27" t="s">
        <v>162</v>
      </c>
      <c r="G1114" s="28">
        <v>225470.09</v>
      </c>
      <c r="H1114" s="26">
        <v>0</v>
      </c>
      <c r="I1114" s="26">
        <v>44</v>
      </c>
      <c r="J1114" s="36">
        <v>0</v>
      </c>
      <c r="K1114" s="34">
        <v>2014</v>
      </c>
      <c r="L1114" s="34">
        <v>9</v>
      </c>
      <c r="M1114" s="34">
        <v>29</v>
      </c>
      <c r="N1114" s="26"/>
    </row>
    <row r="1115" spans="1:14">
      <c r="A1115" s="26">
        <v>140501</v>
      </c>
      <c r="B1115" s="27" t="s">
        <v>881</v>
      </c>
      <c r="C1115" s="26" t="s">
        <v>89</v>
      </c>
      <c r="D1115" s="27" t="s">
        <v>199</v>
      </c>
      <c r="G1115" s="28">
        <v>0</v>
      </c>
      <c r="H1115" s="26">
        <v>225470.09</v>
      </c>
      <c r="I1115" s="26">
        <v>44</v>
      </c>
      <c r="J1115" s="36">
        <v>0</v>
      </c>
      <c r="K1115" s="34">
        <v>2014</v>
      </c>
      <c r="L1115" s="34">
        <v>9</v>
      </c>
      <c r="M1115" s="34">
        <v>29</v>
      </c>
      <c r="N1115" s="26"/>
    </row>
    <row r="1116" spans="1:14">
      <c r="A1116" s="26">
        <v>100201</v>
      </c>
      <c r="B1116" s="27" t="s">
        <v>882</v>
      </c>
      <c r="C1116" s="26" t="s">
        <v>47</v>
      </c>
      <c r="D1116" s="27" t="s">
        <v>48</v>
      </c>
      <c r="G1116" s="28">
        <v>15000</v>
      </c>
      <c r="H1116" s="26">
        <v>0</v>
      </c>
      <c r="I1116" s="26">
        <v>45</v>
      </c>
      <c r="J1116" s="36">
        <v>1</v>
      </c>
      <c r="K1116" s="34">
        <v>2014</v>
      </c>
      <c r="L1116" s="34">
        <v>9</v>
      </c>
      <c r="M1116" s="34">
        <v>30</v>
      </c>
      <c r="N1116" s="26"/>
    </row>
    <row r="1117" spans="1:14">
      <c r="A1117" s="26">
        <v>122104</v>
      </c>
      <c r="B1117" s="27" t="s">
        <v>882</v>
      </c>
      <c r="C1117" s="26" t="s">
        <v>78</v>
      </c>
      <c r="D1117" s="27" t="s">
        <v>82</v>
      </c>
      <c r="G1117" s="28">
        <v>0</v>
      </c>
      <c r="H1117" s="26">
        <v>15000</v>
      </c>
      <c r="I1117" s="26">
        <v>45</v>
      </c>
      <c r="J1117" s="36">
        <v>1</v>
      </c>
      <c r="K1117" s="34">
        <v>2014</v>
      </c>
      <c r="L1117" s="34">
        <v>9</v>
      </c>
      <c r="M1117" s="34">
        <v>30</v>
      </c>
      <c r="N1117" s="26"/>
    </row>
    <row r="1118" spans="1:14">
      <c r="A1118" s="26">
        <v>560301</v>
      </c>
      <c r="B1118" s="27" t="s">
        <v>178</v>
      </c>
      <c r="C1118" s="26" t="s">
        <v>177</v>
      </c>
      <c r="D1118" s="27" t="s">
        <v>199</v>
      </c>
      <c r="G1118" s="28">
        <v>23.58</v>
      </c>
      <c r="H1118" s="26">
        <v>0</v>
      </c>
      <c r="I1118" s="26">
        <v>46</v>
      </c>
      <c r="J1118" s="36">
        <v>3</v>
      </c>
      <c r="K1118" s="34">
        <v>2014</v>
      </c>
      <c r="L1118" s="34">
        <v>9</v>
      </c>
      <c r="M1118" s="34">
        <v>30</v>
      </c>
      <c r="N1118" s="26"/>
    </row>
    <row r="1119" spans="1:14">
      <c r="A1119" s="26">
        <v>100201</v>
      </c>
      <c r="B1119" s="27" t="s">
        <v>883</v>
      </c>
      <c r="C1119" s="26" t="s">
        <v>47</v>
      </c>
      <c r="D1119" s="27" t="s">
        <v>48</v>
      </c>
      <c r="G1119" s="28">
        <v>9.28</v>
      </c>
      <c r="H1119" s="26">
        <v>0</v>
      </c>
      <c r="I1119" s="26">
        <v>46</v>
      </c>
      <c r="J1119" s="36">
        <v>3</v>
      </c>
      <c r="K1119" s="34">
        <v>2014</v>
      </c>
      <c r="L1119" s="34">
        <v>9</v>
      </c>
      <c r="M1119" s="34">
        <v>30</v>
      </c>
      <c r="N1119" s="26"/>
    </row>
    <row r="1120" spans="1:14">
      <c r="A1120" s="26">
        <v>100201</v>
      </c>
      <c r="B1120" s="27" t="s">
        <v>884</v>
      </c>
      <c r="C1120" s="26" t="s">
        <v>47</v>
      </c>
      <c r="D1120" s="27" t="s">
        <v>48</v>
      </c>
      <c r="G1120" s="28">
        <v>0</v>
      </c>
      <c r="H1120" s="26">
        <v>27.86</v>
      </c>
      <c r="I1120" s="26">
        <v>46</v>
      </c>
      <c r="J1120" s="36">
        <v>3</v>
      </c>
      <c r="K1120" s="34">
        <v>2014</v>
      </c>
      <c r="L1120" s="34">
        <v>9</v>
      </c>
      <c r="M1120" s="34">
        <v>30</v>
      </c>
      <c r="N1120" s="26"/>
    </row>
    <row r="1121" spans="1:14">
      <c r="A1121" s="26">
        <v>100201</v>
      </c>
      <c r="B1121" s="27" t="s">
        <v>885</v>
      </c>
      <c r="C1121" s="26" t="s">
        <v>47</v>
      </c>
      <c r="D1121" s="27" t="s">
        <v>48</v>
      </c>
      <c r="G1121" s="28">
        <v>0</v>
      </c>
      <c r="H1121" s="26">
        <v>5</v>
      </c>
      <c r="I1121" s="26">
        <v>46</v>
      </c>
      <c r="J1121" s="36">
        <v>3</v>
      </c>
      <c r="K1121" s="34">
        <v>2014</v>
      </c>
      <c r="L1121" s="34">
        <v>9</v>
      </c>
      <c r="M1121" s="34">
        <v>30</v>
      </c>
      <c r="N1121" s="26"/>
    </row>
    <row r="1122" spans="1:14">
      <c r="A1122" s="26">
        <v>100201</v>
      </c>
      <c r="B1122" s="27" t="s">
        <v>886</v>
      </c>
      <c r="C1122" s="26" t="s">
        <v>47</v>
      </c>
      <c r="D1122" s="27" t="s">
        <v>48</v>
      </c>
      <c r="G1122" s="28">
        <v>0</v>
      </c>
      <c r="H1122" s="26">
        <v>100</v>
      </c>
      <c r="I1122" s="26">
        <v>47</v>
      </c>
      <c r="J1122" s="36">
        <v>1</v>
      </c>
      <c r="K1122" s="34">
        <v>2014</v>
      </c>
      <c r="L1122" s="34">
        <v>9</v>
      </c>
      <c r="M1122" s="34">
        <v>30</v>
      </c>
      <c r="N1122" s="26"/>
    </row>
    <row r="1123" spans="1:14">
      <c r="A1123" s="26">
        <v>122105</v>
      </c>
      <c r="B1123" s="27" t="s">
        <v>886</v>
      </c>
      <c r="C1123" s="26" t="s">
        <v>78</v>
      </c>
      <c r="D1123" s="27" t="s">
        <v>83</v>
      </c>
      <c r="G1123" s="28">
        <v>100</v>
      </c>
      <c r="H1123" s="26">
        <v>0</v>
      </c>
      <c r="I1123" s="26">
        <v>47</v>
      </c>
      <c r="J1123" s="36">
        <v>1</v>
      </c>
      <c r="K1123" s="34">
        <v>2014</v>
      </c>
      <c r="L1123" s="34">
        <v>9</v>
      </c>
      <c r="M1123" s="34">
        <v>30</v>
      </c>
      <c r="N1123" s="26"/>
    </row>
    <row r="1124" spans="1:14">
      <c r="A1124" s="26">
        <v>540103</v>
      </c>
      <c r="B1124" s="27" t="s">
        <v>887</v>
      </c>
      <c r="C1124" s="26" t="s">
        <v>161</v>
      </c>
      <c r="D1124" s="27" t="s">
        <v>164</v>
      </c>
      <c r="G1124" s="28">
        <v>32000</v>
      </c>
      <c r="H1124" s="26">
        <v>0</v>
      </c>
      <c r="I1124" s="26">
        <v>48</v>
      </c>
      <c r="J1124" s="36">
        <v>0</v>
      </c>
      <c r="K1124" s="34">
        <v>2014</v>
      </c>
      <c r="L1124" s="34">
        <v>9</v>
      </c>
      <c r="M1124" s="34">
        <v>30</v>
      </c>
      <c r="N1124" s="26"/>
    </row>
    <row r="1125" spans="1:14">
      <c r="A1125" s="26">
        <v>440107</v>
      </c>
      <c r="B1125" s="27" t="s">
        <v>888</v>
      </c>
      <c r="C1125" s="26" t="s">
        <v>149</v>
      </c>
      <c r="D1125" s="27" t="s">
        <v>156</v>
      </c>
      <c r="G1125" s="28">
        <v>0</v>
      </c>
      <c r="H1125" s="26">
        <v>32000</v>
      </c>
      <c r="I1125" s="26">
        <v>48</v>
      </c>
      <c r="J1125" s="36">
        <v>0</v>
      </c>
      <c r="K1125" s="34">
        <v>2014</v>
      </c>
      <c r="L1125" s="34">
        <v>9</v>
      </c>
      <c r="M1125" s="34">
        <v>30</v>
      </c>
      <c r="N1125" s="26"/>
    </row>
    <row r="1126" spans="1:14">
      <c r="A1126" s="26">
        <v>560202</v>
      </c>
      <c r="B1126" s="27" t="s">
        <v>889</v>
      </c>
      <c r="C1126" s="26" t="s">
        <v>166</v>
      </c>
      <c r="D1126" s="27" t="s">
        <v>168</v>
      </c>
      <c r="G1126" s="28">
        <v>564</v>
      </c>
      <c r="H1126" s="26">
        <v>0</v>
      </c>
      <c r="I1126" s="26">
        <v>49</v>
      </c>
      <c r="J1126" s="36">
        <v>1</v>
      </c>
      <c r="K1126" s="34">
        <v>2014</v>
      </c>
      <c r="L1126" s="34">
        <v>9</v>
      </c>
      <c r="M1126" s="34">
        <v>30</v>
      </c>
      <c r="N1126" s="26"/>
    </row>
    <row r="1127" spans="1:14">
      <c r="A1127" s="26">
        <v>160201</v>
      </c>
      <c r="B1127" s="27" t="s">
        <v>889</v>
      </c>
      <c r="C1127" s="26" t="s">
        <v>99</v>
      </c>
      <c r="D1127" s="27" t="s">
        <v>92</v>
      </c>
      <c r="G1127" s="28">
        <v>0</v>
      </c>
      <c r="H1127" s="26">
        <v>89</v>
      </c>
      <c r="I1127" s="26">
        <v>49</v>
      </c>
      <c r="J1127" s="36">
        <v>1</v>
      </c>
      <c r="K1127" s="34">
        <v>2014</v>
      </c>
      <c r="L1127" s="34">
        <v>9</v>
      </c>
      <c r="M1127" s="34">
        <v>30</v>
      </c>
      <c r="N1127" s="26"/>
    </row>
    <row r="1128" spans="1:14">
      <c r="A1128" s="26">
        <v>160202</v>
      </c>
      <c r="B1128" s="27" t="s">
        <v>889</v>
      </c>
      <c r="C1128" s="26" t="s">
        <v>99</v>
      </c>
      <c r="D1128" s="27" t="s">
        <v>93</v>
      </c>
      <c r="G1128" s="28">
        <v>0</v>
      </c>
      <c r="H1128" s="26">
        <v>122</v>
      </c>
      <c r="I1128" s="26">
        <v>49</v>
      </c>
      <c r="J1128" s="36">
        <v>1</v>
      </c>
      <c r="K1128" s="34">
        <v>2014</v>
      </c>
      <c r="L1128" s="34">
        <v>9</v>
      </c>
      <c r="M1128" s="34">
        <v>30</v>
      </c>
      <c r="N1128" s="26"/>
    </row>
    <row r="1129" spans="1:14">
      <c r="A1129" s="26">
        <v>160203</v>
      </c>
      <c r="B1129" s="27" t="s">
        <v>889</v>
      </c>
      <c r="C1129" s="26" t="s">
        <v>99</v>
      </c>
      <c r="D1129" s="27" t="s">
        <v>94</v>
      </c>
      <c r="G1129" s="28">
        <v>0</v>
      </c>
      <c r="H1129" s="26">
        <v>107</v>
      </c>
      <c r="I1129" s="26">
        <v>49</v>
      </c>
      <c r="J1129" s="36">
        <v>1</v>
      </c>
      <c r="K1129" s="34">
        <v>2014</v>
      </c>
      <c r="L1129" s="34">
        <v>9</v>
      </c>
      <c r="M1129" s="34">
        <v>30</v>
      </c>
      <c r="N1129" s="26"/>
    </row>
    <row r="1130" spans="1:14">
      <c r="A1130" s="26">
        <v>160204</v>
      </c>
      <c r="B1130" s="27" t="s">
        <v>889</v>
      </c>
      <c r="C1130" s="26" t="s">
        <v>99</v>
      </c>
      <c r="D1130" s="27" t="s">
        <v>95</v>
      </c>
      <c r="G1130" s="28">
        <v>0</v>
      </c>
      <c r="H1130" s="26">
        <v>58</v>
      </c>
      <c r="I1130" s="26">
        <v>49</v>
      </c>
      <c r="J1130" s="36">
        <v>1</v>
      </c>
      <c r="K1130" s="34">
        <v>2014</v>
      </c>
      <c r="L1130" s="34">
        <v>9</v>
      </c>
      <c r="M1130" s="34">
        <v>30</v>
      </c>
      <c r="N1130" s="26"/>
    </row>
    <row r="1131" spans="1:14">
      <c r="A1131" s="26">
        <v>160205</v>
      </c>
      <c r="B1131" s="27" t="s">
        <v>889</v>
      </c>
      <c r="C1131" s="26" t="s">
        <v>99</v>
      </c>
      <c r="D1131" s="27" t="s">
        <v>96</v>
      </c>
      <c r="G1131" s="28">
        <v>0</v>
      </c>
      <c r="H1131" s="26">
        <v>69</v>
      </c>
      <c r="I1131" s="26">
        <v>49</v>
      </c>
      <c r="J1131" s="36">
        <v>1</v>
      </c>
      <c r="K1131" s="34">
        <v>2014</v>
      </c>
      <c r="L1131" s="34">
        <v>9</v>
      </c>
      <c r="M1131" s="34">
        <v>30</v>
      </c>
      <c r="N1131" s="26"/>
    </row>
    <row r="1132" spans="1:14">
      <c r="A1132" s="26">
        <v>160206</v>
      </c>
      <c r="B1132" s="27" t="s">
        <v>889</v>
      </c>
      <c r="C1132" s="26" t="s">
        <v>99</v>
      </c>
      <c r="D1132" s="27" t="s">
        <v>97</v>
      </c>
      <c r="G1132" s="28">
        <v>0</v>
      </c>
      <c r="H1132" s="26">
        <v>73</v>
      </c>
      <c r="I1132" s="26">
        <v>49</v>
      </c>
      <c r="J1132" s="36">
        <v>1</v>
      </c>
      <c r="K1132" s="34">
        <v>2014</v>
      </c>
      <c r="L1132" s="34">
        <v>9</v>
      </c>
      <c r="M1132" s="34">
        <v>30</v>
      </c>
      <c r="N1132" s="26"/>
    </row>
    <row r="1133" spans="1:14">
      <c r="A1133" s="26">
        <v>160207</v>
      </c>
      <c r="B1133" s="27" t="s">
        <v>889</v>
      </c>
      <c r="C1133" s="26" t="s">
        <v>99</v>
      </c>
      <c r="D1133" s="27" t="s">
        <v>98</v>
      </c>
      <c r="G1133" s="28">
        <v>0</v>
      </c>
      <c r="H1133" s="26">
        <v>46</v>
      </c>
      <c r="I1133" s="26">
        <v>49</v>
      </c>
      <c r="J1133" s="36">
        <v>1</v>
      </c>
      <c r="K1133" s="34">
        <v>2014</v>
      </c>
      <c r="L1133" s="34">
        <v>9</v>
      </c>
      <c r="M1133" s="34">
        <v>30</v>
      </c>
      <c r="N1133" s="26"/>
    </row>
    <row r="1134" spans="1:14">
      <c r="A1134" s="26">
        <v>112317</v>
      </c>
      <c r="B1134" s="27" t="s">
        <v>890</v>
      </c>
      <c r="C1134" s="26" t="s">
        <v>64</v>
      </c>
      <c r="D1134" s="27" t="s">
        <v>76</v>
      </c>
      <c r="G1134" s="28">
        <v>2150</v>
      </c>
      <c r="H1134" s="26">
        <v>0</v>
      </c>
      <c r="I1134" s="26">
        <v>50</v>
      </c>
      <c r="J1134" s="36">
        <v>0</v>
      </c>
      <c r="K1134" s="34">
        <v>2014</v>
      </c>
      <c r="L1134" s="34">
        <v>9</v>
      </c>
      <c r="M1134" s="34">
        <v>30</v>
      </c>
      <c r="N1134" s="26"/>
    </row>
    <row r="1135" spans="1:14">
      <c r="A1135" s="26">
        <v>440107</v>
      </c>
      <c r="B1135" s="27" t="s">
        <v>891</v>
      </c>
      <c r="C1135" s="26" t="s">
        <v>149</v>
      </c>
      <c r="D1135" s="27" t="s">
        <v>156</v>
      </c>
      <c r="G1135" s="28">
        <v>-2150</v>
      </c>
      <c r="H1135" s="26">
        <v>0</v>
      </c>
      <c r="I1135" s="26">
        <v>50</v>
      </c>
      <c r="J1135" s="36">
        <v>0</v>
      </c>
      <c r="K1135" s="34">
        <v>2014</v>
      </c>
      <c r="L1135" s="34">
        <v>9</v>
      </c>
      <c r="M1135" s="34">
        <v>30</v>
      </c>
      <c r="N1135" s="26"/>
    </row>
    <row r="1136" spans="1:14">
      <c r="A1136" s="26">
        <v>112317</v>
      </c>
      <c r="B1136" s="27" t="s">
        <v>892</v>
      </c>
      <c r="C1136" s="26" t="s">
        <v>64</v>
      </c>
      <c r="D1136" s="27" t="s">
        <v>76</v>
      </c>
      <c r="G1136" s="28">
        <v>1000</v>
      </c>
      <c r="H1136" s="26">
        <v>0</v>
      </c>
      <c r="I1136" s="26">
        <v>51</v>
      </c>
      <c r="J1136" s="36">
        <v>2</v>
      </c>
      <c r="K1136" s="34">
        <v>2014</v>
      </c>
      <c r="L1136" s="34">
        <v>9</v>
      </c>
      <c r="M1136" s="34">
        <v>30</v>
      </c>
      <c r="N1136" s="26"/>
    </row>
    <row r="1137" spans="1:14">
      <c r="A1137" s="26">
        <v>100201</v>
      </c>
      <c r="B1137" s="27" t="s">
        <v>892</v>
      </c>
      <c r="C1137" s="26" t="s">
        <v>47</v>
      </c>
      <c r="D1137" s="27" t="s">
        <v>48</v>
      </c>
      <c r="G1137" s="28">
        <v>0</v>
      </c>
      <c r="H1137" s="26">
        <v>1000</v>
      </c>
      <c r="I1137" s="26">
        <v>51</v>
      </c>
      <c r="J1137" s="36">
        <v>2</v>
      </c>
      <c r="K1137" s="34">
        <v>2014</v>
      </c>
      <c r="L1137" s="34">
        <v>9</v>
      </c>
      <c r="M1137" s="34">
        <v>30</v>
      </c>
      <c r="N1137" s="26"/>
    </row>
    <row r="1138" spans="1:14">
      <c r="A1138" s="26">
        <v>112317</v>
      </c>
      <c r="B1138" s="27" t="s">
        <v>893</v>
      </c>
      <c r="C1138" s="26" t="s">
        <v>64</v>
      </c>
      <c r="D1138" s="27" t="s">
        <v>76</v>
      </c>
      <c r="G1138" s="28">
        <v>500</v>
      </c>
      <c r="H1138" s="26">
        <v>0</v>
      </c>
      <c r="I1138" s="26">
        <v>52</v>
      </c>
      <c r="J1138" s="36">
        <v>2</v>
      </c>
      <c r="K1138" s="34">
        <v>2014</v>
      </c>
      <c r="L1138" s="34">
        <v>9</v>
      </c>
      <c r="M1138" s="34">
        <v>30</v>
      </c>
      <c r="N1138" s="26"/>
    </row>
    <row r="1139" spans="1:14">
      <c r="A1139" s="26">
        <v>100101</v>
      </c>
      <c r="B1139" s="27" t="s">
        <v>893</v>
      </c>
      <c r="C1139" s="26" t="s">
        <v>46</v>
      </c>
      <c r="D1139" s="27" t="s">
        <v>199</v>
      </c>
      <c r="G1139" s="28">
        <v>0</v>
      </c>
      <c r="H1139" s="26">
        <v>500</v>
      </c>
      <c r="I1139" s="26">
        <v>52</v>
      </c>
      <c r="J1139" s="36">
        <v>2</v>
      </c>
      <c r="K1139" s="34">
        <v>2014</v>
      </c>
      <c r="L1139" s="34">
        <v>9</v>
      </c>
      <c r="M1139" s="34">
        <v>30</v>
      </c>
      <c r="N1139" s="26"/>
    </row>
    <row r="1140" spans="1:14">
      <c r="A1140" s="26">
        <v>560203</v>
      </c>
      <c r="B1140" s="27" t="s">
        <v>894</v>
      </c>
      <c r="C1140" s="26" t="s">
        <v>166</v>
      </c>
      <c r="D1140" s="27" t="s">
        <v>169</v>
      </c>
      <c r="G1140" s="28">
        <v>154</v>
      </c>
      <c r="H1140" s="26">
        <v>0</v>
      </c>
      <c r="I1140" s="26">
        <v>53</v>
      </c>
      <c r="J1140" s="36">
        <v>2</v>
      </c>
      <c r="K1140" s="34">
        <v>2014</v>
      </c>
      <c r="L1140" s="34">
        <v>9</v>
      </c>
      <c r="M1140" s="34">
        <v>30</v>
      </c>
      <c r="N1140" s="26"/>
    </row>
    <row r="1141" spans="1:14">
      <c r="A1141" s="26">
        <v>560209</v>
      </c>
      <c r="B1141" s="27" t="s">
        <v>895</v>
      </c>
      <c r="C1141" s="26" t="s">
        <v>166</v>
      </c>
      <c r="D1141" s="27" t="s">
        <v>175</v>
      </c>
      <c r="G1141" s="28">
        <v>163.66</v>
      </c>
      <c r="H1141" s="26">
        <v>0</v>
      </c>
      <c r="I1141" s="26">
        <v>53</v>
      </c>
      <c r="J1141" s="36">
        <v>2</v>
      </c>
      <c r="K1141" s="34">
        <v>2014</v>
      </c>
      <c r="L1141" s="34">
        <v>9</v>
      </c>
      <c r="M1141" s="34">
        <v>30</v>
      </c>
      <c r="N1141" s="26"/>
    </row>
    <row r="1142" spans="1:14">
      <c r="A1142" s="26">
        <v>100101</v>
      </c>
      <c r="B1142" s="27" t="s">
        <v>896</v>
      </c>
      <c r="C1142" s="26" t="s">
        <v>46</v>
      </c>
      <c r="D1142" s="27" t="s">
        <v>199</v>
      </c>
      <c r="G1142" s="28">
        <v>0</v>
      </c>
      <c r="H1142" s="26">
        <v>317.66</v>
      </c>
      <c r="I1142" s="26">
        <v>53</v>
      </c>
      <c r="J1142" s="36">
        <v>2</v>
      </c>
      <c r="K1142" s="34">
        <v>2014</v>
      </c>
      <c r="L1142" s="34">
        <v>9</v>
      </c>
      <c r="M1142" s="34">
        <v>30</v>
      </c>
      <c r="N1142" s="26"/>
    </row>
    <row r="1143" spans="1:14">
      <c r="A1143" s="26">
        <v>540101</v>
      </c>
      <c r="B1143" s="27" t="s">
        <v>897</v>
      </c>
      <c r="C1143" s="26" t="s">
        <v>161</v>
      </c>
      <c r="D1143" s="27" t="s">
        <v>162</v>
      </c>
      <c r="G1143" s="28">
        <v>5476.55</v>
      </c>
      <c r="H1143" s="26">
        <v>0</v>
      </c>
      <c r="I1143" s="26">
        <v>54</v>
      </c>
      <c r="J1143" s="36">
        <v>0</v>
      </c>
      <c r="K1143" s="34">
        <v>2014</v>
      </c>
      <c r="L1143" s="34">
        <v>9</v>
      </c>
      <c r="M1143" s="34">
        <v>30</v>
      </c>
      <c r="N1143" s="26"/>
    </row>
    <row r="1144" spans="1:14">
      <c r="A1144" s="26">
        <v>140501</v>
      </c>
      <c r="B1144" s="27" t="s">
        <v>898</v>
      </c>
      <c r="C1144" s="26" t="s">
        <v>89</v>
      </c>
      <c r="D1144" s="27" t="s">
        <v>199</v>
      </c>
      <c r="G1144" s="28">
        <v>0</v>
      </c>
      <c r="H1144" s="26">
        <v>5008.55</v>
      </c>
      <c r="I1144" s="26">
        <v>54</v>
      </c>
      <c r="J1144" s="36">
        <v>0</v>
      </c>
      <c r="K1144" s="34">
        <v>2014</v>
      </c>
      <c r="L1144" s="34">
        <v>9</v>
      </c>
      <c r="M1144" s="34">
        <v>30</v>
      </c>
      <c r="N1144" s="26"/>
    </row>
    <row r="1145" spans="1:14">
      <c r="A1145" s="26">
        <v>140501</v>
      </c>
      <c r="B1145" s="27" t="s">
        <v>898</v>
      </c>
      <c r="C1145" s="26" t="s">
        <v>89</v>
      </c>
      <c r="D1145" s="27" t="s">
        <v>199</v>
      </c>
      <c r="G1145" s="28">
        <v>0</v>
      </c>
      <c r="H1145" s="26">
        <v>68</v>
      </c>
      <c r="I1145" s="26">
        <v>54</v>
      </c>
      <c r="J1145" s="36">
        <v>0</v>
      </c>
      <c r="K1145" s="34">
        <v>2014</v>
      </c>
      <c r="L1145" s="34">
        <v>9</v>
      </c>
      <c r="M1145" s="34">
        <v>30</v>
      </c>
      <c r="N1145" s="26"/>
    </row>
    <row r="1146" spans="1:14">
      <c r="A1146" s="26">
        <v>140501</v>
      </c>
      <c r="B1146" s="27" t="s">
        <v>898</v>
      </c>
      <c r="C1146" s="26" t="s">
        <v>89</v>
      </c>
      <c r="D1146" s="27" t="s">
        <v>199</v>
      </c>
      <c r="G1146" s="28">
        <v>0</v>
      </c>
      <c r="H1146" s="26">
        <v>400</v>
      </c>
      <c r="I1146" s="26">
        <v>54</v>
      </c>
      <c r="J1146" s="36">
        <v>0</v>
      </c>
      <c r="K1146" s="34">
        <v>2014</v>
      </c>
      <c r="L1146" s="34">
        <v>9</v>
      </c>
      <c r="M1146" s="34">
        <v>30</v>
      </c>
      <c r="N1146" s="26"/>
    </row>
    <row r="1147" spans="1:14">
      <c r="A1147" s="26">
        <v>540301</v>
      </c>
      <c r="B1147" s="27" t="s">
        <v>899</v>
      </c>
      <c r="C1147" s="26" t="s">
        <v>165</v>
      </c>
      <c r="D1147" s="27" t="s">
        <v>129</v>
      </c>
      <c r="G1147" s="28">
        <v>451.89</v>
      </c>
      <c r="H1147" s="26">
        <v>0</v>
      </c>
      <c r="I1147" s="26">
        <v>55</v>
      </c>
      <c r="J1147" s="36">
        <v>1</v>
      </c>
      <c r="K1147" s="34">
        <v>2014</v>
      </c>
      <c r="L1147" s="34">
        <v>9</v>
      </c>
      <c r="M1147" s="34">
        <v>30</v>
      </c>
      <c r="N1147" s="26"/>
    </row>
    <row r="1148" spans="1:14">
      <c r="A1148" s="26">
        <v>540302</v>
      </c>
      <c r="B1148" s="27" t="s">
        <v>899</v>
      </c>
      <c r="C1148" s="26" t="s">
        <v>165</v>
      </c>
      <c r="D1148" s="27" t="s">
        <v>130</v>
      </c>
      <c r="G1148" s="28">
        <v>322.78</v>
      </c>
      <c r="H1148" s="26">
        <v>0</v>
      </c>
      <c r="I1148" s="26">
        <v>55</v>
      </c>
      <c r="J1148" s="36">
        <v>1</v>
      </c>
      <c r="K1148" s="34">
        <v>2014</v>
      </c>
      <c r="L1148" s="34">
        <v>9</v>
      </c>
      <c r="M1148" s="34">
        <v>30</v>
      </c>
      <c r="N1148" s="26"/>
    </row>
    <row r="1149" spans="1:14">
      <c r="A1149" s="26">
        <v>540303</v>
      </c>
      <c r="B1149" s="27" t="s">
        <v>899</v>
      </c>
      <c r="C1149" s="26" t="s">
        <v>165</v>
      </c>
      <c r="D1149" s="27" t="s">
        <v>131</v>
      </c>
      <c r="G1149" s="28">
        <v>92.5</v>
      </c>
      <c r="H1149" s="26">
        <v>0</v>
      </c>
      <c r="I1149" s="26">
        <v>55</v>
      </c>
      <c r="J1149" s="36">
        <v>1</v>
      </c>
      <c r="K1149" s="34">
        <v>2014</v>
      </c>
      <c r="L1149" s="34">
        <v>9</v>
      </c>
      <c r="M1149" s="34">
        <v>30</v>
      </c>
      <c r="N1149" s="26"/>
    </row>
    <row r="1150" spans="1:14">
      <c r="A1150" s="26">
        <v>560206</v>
      </c>
      <c r="B1150" s="27" t="s">
        <v>899</v>
      </c>
      <c r="C1150" s="26" t="s">
        <v>166</v>
      </c>
      <c r="D1150" s="27" t="s">
        <v>172</v>
      </c>
      <c r="G1150" s="28">
        <v>308.34</v>
      </c>
      <c r="H1150" s="26">
        <v>0</v>
      </c>
      <c r="I1150" s="26">
        <v>55</v>
      </c>
      <c r="J1150" s="36">
        <v>1</v>
      </c>
      <c r="K1150" s="34">
        <v>2014</v>
      </c>
      <c r="L1150" s="34">
        <v>9</v>
      </c>
      <c r="M1150" s="34">
        <v>30</v>
      </c>
      <c r="N1150" s="26"/>
    </row>
    <row r="1151" spans="1:14">
      <c r="A1151" s="26">
        <v>540304</v>
      </c>
      <c r="B1151" s="27" t="s">
        <v>899</v>
      </c>
      <c r="C1151" s="26" t="s">
        <v>165</v>
      </c>
      <c r="D1151" s="27" t="s">
        <v>128</v>
      </c>
      <c r="G1151" s="28">
        <v>152.5</v>
      </c>
      <c r="H1151" s="26">
        <v>0</v>
      </c>
      <c r="I1151" s="26">
        <v>55</v>
      </c>
      <c r="J1151" s="36">
        <v>1</v>
      </c>
      <c r="K1151" s="34">
        <v>2014</v>
      </c>
      <c r="L1151" s="34">
        <v>9</v>
      </c>
      <c r="M1151" s="34">
        <v>30</v>
      </c>
      <c r="N1151" s="26"/>
    </row>
    <row r="1152" spans="1:14">
      <c r="A1152" s="26">
        <v>222102</v>
      </c>
      <c r="B1152" s="27" t="s">
        <v>899</v>
      </c>
      <c r="C1152" s="26" t="s">
        <v>126</v>
      </c>
      <c r="D1152" s="27" t="s">
        <v>128</v>
      </c>
      <c r="G1152" s="28">
        <v>0</v>
      </c>
      <c r="H1152" s="26">
        <v>152.5</v>
      </c>
      <c r="I1152" s="26">
        <v>55</v>
      </c>
      <c r="J1152" s="36">
        <v>1</v>
      </c>
      <c r="K1152" s="34">
        <v>2014</v>
      </c>
      <c r="L1152" s="34">
        <v>9</v>
      </c>
      <c r="M1152" s="34">
        <v>30</v>
      </c>
      <c r="N1152" s="26"/>
    </row>
    <row r="1153" spans="1:14">
      <c r="A1153" s="26">
        <v>222103</v>
      </c>
      <c r="B1153" s="27" t="s">
        <v>899</v>
      </c>
      <c r="C1153" s="26" t="s">
        <v>126</v>
      </c>
      <c r="D1153" s="27" t="s">
        <v>129</v>
      </c>
      <c r="G1153" s="28">
        <v>0</v>
      </c>
      <c r="H1153" s="26">
        <v>451.89</v>
      </c>
      <c r="I1153" s="26">
        <v>55</v>
      </c>
      <c r="J1153" s="36">
        <v>1</v>
      </c>
      <c r="K1153" s="34">
        <v>2014</v>
      </c>
      <c r="L1153" s="34">
        <v>9</v>
      </c>
      <c r="M1153" s="34">
        <v>30</v>
      </c>
      <c r="N1153" s="26"/>
    </row>
    <row r="1154" spans="1:14">
      <c r="A1154" s="26">
        <v>222104</v>
      </c>
      <c r="B1154" s="27" t="s">
        <v>899</v>
      </c>
      <c r="C1154" s="26" t="s">
        <v>126</v>
      </c>
      <c r="D1154" s="27" t="s">
        <v>130</v>
      </c>
      <c r="G1154" s="28">
        <v>0</v>
      </c>
      <c r="H1154" s="26">
        <v>322.78</v>
      </c>
      <c r="I1154" s="26">
        <v>55</v>
      </c>
      <c r="J1154" s="36">
        <v>1</v>
      </c>
      <c r="K1154" s="34">
        <v>2014</v>
      </c>
      <c r="L1154" s="34">
        <v>9</v>
      </c>
      <c r="M1154" s="34">
        <v>30</v>
      </c>
      <c r="N1154" s="26"/>
    </row>
    <row r="1155" spans="1:14">
      <c r="A1155" s="26">
        <v>222105</v>
      </c>
      <c r="B1155" s="27" t="s">
        <v>899</v>
      </c>
      <c r="C1155" s="26" t="s">
        <v>126</v>
      </c>
      <c r="D1155" s="27" t="s">
        <v>131</v>
      </c>
      <c r="G1155" s="28">
        <v>0</v>
      </c>
      <c r="H1155" s="26">
        <v>92.5</v>
      </c>
      <c r="I1155" s="26">
        <v>55</v>
      </c>
      <c r="J1155" s="36">
        <v>1</v>
      </c>
      <c r="K1155" s="34">
        <v>2014</v>
      </c>
      <c r="L1155" s="34">
        <v>9</v>
      </c>
      <c r="M1155" s="34">
        <v>30</v>
      </c>
      <c r="N1155" s="26"/>
    </row>
    <row r="1156" spans="1:14">
      <c r="A1156" s="26">
        <v>224104</v>
      </c>
      <c r="B1156" s="27" t="s">
        <v>899</v>
      </c>
      <c r="C1156" s="26" t="s">
        <v>140</v>
      </c>
      <c r="D1156" s="27" t="s">
        <v>142</v>
      </c>
      <c r="G1156" s="28">
        <v>0</v>
      </c>
      <c r="H1156" s="26">
        <v>308.34</v>
      </c>
      <c r="I1156" s="26">
        <v>55</v>
      </c>
      <c r="J1156" s="36">
        <v>1</v>
      </c>
      <c r="K1156" s="34">
        <v>2014</v>
      </c>
      <c r="L1156" s="34">
        <v>9</v>
      </c>
      <c r="M1156" s="34">
        <v>30</v>
      </c>
      <c r="N1156" s="26"/>
    </row>
    <row r="1157" spans="1:14">
      <c r="A1157" s="26">
        <v>222123</v>
      </c>
      <c r="B1157" s="27" t="s">
        <v>900</v>
      </c>
      <c r="C1157" s="26" t="s">
        <v>126</v>
      </c>
      <c r="D1157" s="27" t="s">
        <v>135</v>
      </c>
      <c r="G1157" s="28">
        <v>6303.06</v>
      </c>
      <c r="H1157" s="26">
        <v>0</v>
      </c>
      <c r="I1157" s="26">
        <v>56</v>
      </c>
      <c r="J1157" s="36">
        <v>0</v>
      </c>
      <c r="K1157" s="34">
        <v>2014</v>
      </c>
      <c r="L1157" s="34">
        <v>9</v>
      </c>
      <c r="M1157" s="34">
        <v>30</v>
      </c>
      <c r="N1157" s="26"/>
    </row>
    <row r="1158" spans="1:14">
      <c r="A1158" s="26">
        <v>222101</v>
      </c>
      <c r="B1158" s="27" t="s">
        <v>901</v>
      </c>
      <c r="C1158" s="26" t="s">
        <v>126</v>
      </c>
      <c r="D1158" s="27" t="s">
        <v>127</v>
      </c>
      <c r="G1158" s="28">
        <v>0</v>
      </c>
      <c r="H1158" s="26">
        <v>6303.06</v>
      </c>
      <c r="I1158" s="26">
        <v>56</v>
      </c>
      <c r="J1158" s="36">
        <v>0</v>
      </c>
      <c r="K1158" s="34">
        <v>2014</v>
      </c>
      <c r="L1158" s="34">
        <v>9</v>
      </c>
      <c r="M1158" s="34">
        <v>30</v>
      </c>
      <c r="N1158" s="26"/>
    </row>
    <row r="1159" spans="1:14">
      <c r="A1159" s="26">
        <v>560203</v>
      </c>
      <c r="B1159" s="27" t="s">
        <v>902</v>
      </c>
      <c r="C1159" s="26" t="s">
        <v>166</v>
      </c>
      <c r="D1159" s="27" t="s">
        <v>169</v>
      </c>
      <c r="G1159" s="28">
        <v>578</v>
      </c>
      <c r="H1159" s="26">
        <v>0</v>
      </c>
      <c r="I1159" s="26">
        <v>1</v>
      </c>
      <c r="J1159" s="36">
        <v>6</v>
      </c>
      <c r="K1159" s="34">
        <v>2014</v>
      </c>
      <c r="L1159" s="34">
        <v>10</v>
      </c>
      <c r="M1159" s="34">
        <v>14</v>
      </c>
      <c r="N1159" s="26"/>
    </row>
    <row r="1160" spans="1:14">
      <c r="A1160" s="26">
        <v>560204</v>
      </c>
      <c r="B1160" s="27" t="s">
        <v>456</v>
      </c>
      <c r="C1160" s="26" t="s">
        <v>166</v>
      </c>
      <c r="D1160" s="27" t="s">
        <v>170</v>
      </c>
      <c r="G1160" s="28">
        <v>765</v>
      </c>
      <c r="H1160" s="26">
        <v>0</v>
      </c>
      <c r="I1160" s="26">
        <v>1</v>
      </c>
      <c r="J1160" s="36">
        <v>6</v>
      </c>
      <c r="K1160" s="34">
        <v>2014</v>
      </c>
      <c r="L1160" s="34">
        <v>10</v>
      </c>
      <c r="M1160" s="34">
        <v>14</v>
      </c>
      <c r="N1160" s="26"/>
    </row>
    <row r="1161" spans="1:14">
      <c r="A1161" s="26">
        <v>224101</v>
      </c>
      <c r="B1161" s="27" t="s">
        <v>903</v>
      </c>
      <c r="C1161" s="26" t="s">
        <v>140</v>
      </c>
      <c r="D1161" s="27" t="s">
        <v>12</v>
      </c>
      <c r="G1161" s="28">
        <v>0</v>
      </c>
      <c r="H1161" s="26">
        <v>543</v>
      </c>
      <c r="I1161" s="26">
        <v>1</v>
      </c>
      <c r="J1161" s="36">
        <v>6</v>
      </c>
      <c r="K1161" s="34">
        <v>2014</v>
      </c>
      <c r="L1161" s="34">
        <v>10</v>
      </c>
      <c r="M1161" s="34">
        <v>14</v>
      </c>
      <c r="N1161" s="26"/>
    </row>
    <row r="1162" spans="1:14">
      <c r="A1162" s="26">
        <v>100101</v>
      </c>
      <c r="B1162" s="27" t="s">
        <v>904</v>
      </c>
      <c r="C1162" s="26" t="s">
        <v>46</v>
      </c>
      <c r="D1162" s="27" t="s">
        <v>199</v>
      </c>
      <c r="G1162" s="28">
        <v>0</v>
      </c>
      <c r="H1162" s="26">
        <v>800</v>
      </c>
      <c r="I1162" s="26">
        <v>1</v>
      </c>
      <c r="J1162" s="36">
        <v>6</v>
      </c>
      <c r="K1162" s="34">
        <v>2014</v>
      </c>
      <c r="L1162" s="34">
        <v>10</v>
      </c>
      <c r="M1162" s="34">
        <v>14</v>
      </c>
      <c r="N1162" s="26"/>
    </row>
    <row r="1163" spans="1:14">
      <c r="A1163" s="26">
        <v>560207</v>
      </c>
      <c r="B1163" s="27" t="s">
        <v>427</v>
      </c>
      <c r="C1163" s="26" t="s">
        <v>166</v>
      </c>
      <c r="D1163" s="27" t="s">
        <v>173</v>
      </c>
      <c r="G1163" s="28">
        <v>250</v>
      </c>
      <c r="H1163" s="26">
        <v>0</v>
      </c>
      <c r="I1163" s="26">
        <v>2</v>
      </c>
      <c r="J1163" s="36">
        <v>5</v>
      </c>
      <c r="K1163" s="34">
        <v>2014</v>
      </c>
      <c r="L1163" s="34">
        <v>10</v>
      </c>
      <c r="M1163" s="34">
        <v>14</v>
      </c>
      <c r="N1163" s="26"/>
    </row>
    <row r="1164" spans="1:14">
      <c r="A1164" s="26">
        <v>560208</v>
      </c>
      <c r="B1164" s="27" t="s">
        <v>905</v>
      </c>
      <c r="C1164" s="26" t="s">
        <v>166</v>
      </c>
      <c r="D1164" s="27" t="s">
        <v>174</v>
      </c>
      <c r="G1164" s="28">
        <v>65.9</v>
      </c>
      <c r="H1164" s="26">
        <v>0</v>
      </c>
      <c r="I1164" s="26">
        <v>2</v>
      </c>
      <c r="J1164" s="36">
        <v>5</v>
      </c>
      <c r="K1164" s="34">
        <v>2014</v>
      </c>
      <c r="L1164" s="34">
        <v>10</v>
      </c>
      <c r="M1164" s="34">
        <v>14</v>
      </c>
      <c r="N1164" s="26"/>
    </row>
    <row r="1165" spans="1:14">
      <c r="A1165" s="26">
        <v>560203</v>
      </c>
      <c r="B1165" s="27" t="s">
        <v>906</v>
      </c>
      <c r="C1165" s="26" t="s">
        <v>166</v>
      </c>
      <c r="D1165" s="27" t="s">
        <v>169</v>
      </c>
      <c r="G1165" s="28">
        <v>242</v>
      </c>
      <c r="H1165" s="26">
        <v>0</v>
      </c>
      <c r="I1165" s="26">
        <v>2</v>
      </c>
      <c r="J1165" s="36">
        <v>5</v>
      </c>
      <c r="K1165" s="34">
        <v>2014</v>
      </c>
      <c r="L1165" s="34">
        <v>10</v>
      </c>
      <c r="M1165" s="34">
        <v>14</v>
      </c>
      <c r="N1165" s="26"/>
    </row>
    <row r="1166" spans="1:14">
      <c r="A1166" s="26">
        <v>540103</v>
      </c>
      <c r="B1166" s="27" t="s">
        <v>907</v>
      </c>
      <c r="C1166" s="26" t="s">
        <v>161</v>
      </c>
      <c r="D1166" s="27" t="s">
        <v>164</v>
      </c>
      <c r="G1166" s="28">
        <v>161</v>
      </c>
      <c r="H1166" s="26">
        <v>0</v>
      </c>
      <c r="I1166" s="26">
        <v>2</v>
      </c>
      <c r="J1166" s="36">
        <v>5</v>
      </c>
      <c r="K1166" s="34">
        <v>2014</v>
      </c>
      <c r="L1166" s="34">
        <v>10</v>
      </c>
      <c r="M1166" s="34">
        <v>14</v>
      </c>
      <c r="N1166" s="26"/>
    </row>
    <row r="1167" spans="1:14">
      <c r="A1167" s="26">
        <v>100101</v>
      </c>
      <c r="B1167" s="27" t="s">
        <v>908</v>
      </c>
      <c r="C1167" s="26" t="s">
        <v>46</v>
      </c>
      <c r="D1167" s="27" t="s">
        <v>199</v>
      </c>
      <c r="G1167" s="28">
        <v>0</v>
      </c>
      <c r="H1167" s="26">
        <v>718.9</v>
      </c>
      <c r="I1167" s="26">
        <v>2</v>
      </c>
      <c r="J1167" s="36">
        <v>5</v>
      </c>
      <c r="K1167" s="34">
        <v>2014</v>
      </c>
      <c r="L1167" s="34">
        <v>10</v>
      </c>
      <c r="M1167" s="34">
        <v>14</v>
      </c>
      <c r="N1167" s="26"/>
    </row>
    <row r="1168" spans="1:14">
      <c r="A1168" s="26">
        <v>100201</v>
      </c>
      <c r="B1168" s="27" t="s">
        <v>909</v>
      </c>
      <c r="C1168" s="26" t="s">
        <v>47</v>
      </c>
      <c r="D1168" s="27" t="s">
        <v>48</v>
      </c>
      <c r="G1168" s="28">
        <v>5700</v>
      </c>
      <c r="H1168" s="26">
        <v>0</v>
      </c>
      <c r="I1168" s="26">
        <v>3</v>
      </c>
      <c r="J1168" s="36">
        <v>1</v>
      </c>
      <c r="K1168" s="34">
        <v>2014</v>
      </c>
      <c r="L1168" s="34">
        <v>10</v>
      </c>
      <c r="M1168" s="34">
        <v>14</v>
      </c>
      <c r="N1168" s="26"/>
    </row>
    <row r="1169" spans="1:14">
      <c r="A1169" s="26">
        <v>100101</v>
      </c>
      <c r="B1169" s="27" t="s">
        <v>910</v>
      </c>
      <c r="C1169" s="26" t="s">
        <v>46</v>
      </c>
      <c r="D1169" s="27" t="s">
        <v>199</v>
      </c>
      <c r="G1169" s="28">
        <v>0</v>
      </c>
      <c r="H1169" s="26">
        <v>5700</v>
      </c>
      <c r="I1169" s="26">
        <v>3</v>
      </c>
      <c r="J1169" s="36">
        <v>1</v>
      </c>
      <c r="K1169" s="34">
        <v>2014</v>
      </c>
      <c r="L1169" s="34">
        <v>10</v>
      </c>
      <c r="M1169" s="34">
        <v>14</v>
      </c>
      <c r="N1169" s="26"/>
    </row>
    <row r="1170" spans="1:14">
      <c r="A1170" s="26">
        <v>100101</v>
      </c>
      <c r="B1170" s="27" t="s">
        <v>911</v>
      </c>
      <c r="C1170" s="26" t="s">
        <v>46</v>
      </c>
      <c r="D1170" s="27" t="s">
        <v>199</v>
      </c>
      <c r="G1170" s="28">
        <v>2250</v>
      </c>
      <c r="H1170" s="26">
        <v>0</v>
      </c>
      <c r="I1170" s="26">
        <v>4</v>
      </c>
      <c r="J1170" s="36">
        <v>1</v>
      </c>
      <c r="K1170" s="34">
        <v>2014</v>
      </c>
      <c r="L1170" s="34">
        <v>10</v>
      </c>
      <c r="M1170" s="34">
        <v>14</v>
      </c>
      <c r="N1170" s="26"/>
    </row>
    <row r="1171" spans="1:14">
      <c r="A1171" s="26">
        <v>112204</v>
      </c>
      <c r="B1171" s="27" t="s">
        <v>911</v>
      </c>
      <c r="C1171" s="26" t="s">
        <v>49</v>
      </c>
      <c r="D1171" s="27" t="s">
        <v>255</v>
      </c>
      <c r="G1171" s="28">
        <v>0</v>
      </c>
      <c r="H1171" s="26">
        <v>2250</v>
      </c>
      <c r="I1171" s="26">
        <v>4</v>
      </c>
      <c r="J1171" s="36">
        <v>1</v>
      </c>
      <c r="K1171" s="34">
        <v>2014</v>
      </c>
      <c r="L1171" s="34">
        <v>10</v>
      </c>
      <c r="M1171" s="34">
        <v>14</v>
      </c>
      <c r="N1171" s="26"/>
    </row>
    <row r="1172" spans="1:14">
      <c r="A1172" s="26">
        <v>100101</v>
      </c>
      <c r="B1172" s="27" t="s">
        <v>912</v>
      </c>
      <c r="C1172" s="26" t="s">
        <v>46</v>
      </c>
      <c r="D1172" s="27" t="s">
        <v>199</v>
      </c>
      <c r="G1172" s="28">
        <v>1800</v>
      </c>
      <c r="H1172" s="26">
        <v>0</v>
      </c>
      <c r="I1172" s="26">
        <v>5</v>
      </c>
      <c r="J1172" s="36">
        <v>1</v>
      </c>
      <c r="K1172" s="34">
        <v>2014</v>
      </c>
      <c r="L1172" s="34">
        <v>10</v>
      </c>
      <c r="M1172" s="34">
        <v>14</v>
      </c>
      <c r="N1172" s="26"/>
    </row>
    <row r="1173" spans="1:14">
      <c r="A1173" s="26">
        <v>112204</v>
      </c>
      <c r="B1173" s="27" t="s">
        <v>912</v>
      </c>
      <c r="C1173" s="26" t="s">
        <v>49</v>
      </c>
      <c r="D1173" s="27" t="s">
        <v>255</v>
      </c>
      <c r="G1173" s="28">
        <v>0</v>
      </c>
      <c r="H1173" s="26">
        <v>1800</v>
      </c>
      <c r="I1173" s="26">
        <v>5</v>
      </c>
      <c r="J1173" s="36">
        <v>1</v>
      </c>
      <c r="K1173" s="34">
        <v>2014</v>
      </c>
      <c r="L1173" s="34">
        <v>10</v>
      </c>
      <c r="M1173" s="34">
        <v>14</v>
      </c>
      <c r="N1173" s="26"/>
    </row>
    <row r="1174" spans="1:14">
      <c r="A1174" s="26">
        <v>440106</v>
      </c>
      <c r="B1174" s="27" t="s">
        <v>913</v>
      </c>
      <c r="C1174" s="26" t="s">
        <v>149</v>
      </c>
      <c r="D1174" s="27" t="s">
        <v>354</v>
      </c>
      <c r="G1174" s="28">
        <v>12150</v>
      </c>
      <c r="H1174" s="26">
        <v>0</v>
      </c>
      <c r="I1174" s="26">
        <v>6</v>
      </c>
      <c r="J1174" s="36">
        <v>2</v>
      </c>
      <c r="K1174" s="34">
        <v>2014</v>
      </c>
      <c r="L1174" s="34">
        <v>10</v>
      </c>
      <c r="M1174" s="34">
        <v>14</v>
      </c>
      <c r="N1174" s="26"/>
    </row>
    <row r="1175" spans="1:14">
      <c r="A1175" s="26">
        <v>100201</v>
      </c>
      <c r="B1175" s="27" t="s">
        <v>914</v>
      </c>
      <c r="C1175" s="26" t="s">
        <v>47</v>
      </c>
      <c r="D1175" s="27" t="s">
        <v>48</v>
      </c>
      <c r="G1175" s="28">
        <v>0</v>
      </c>
      <c r="H1175" s="26">
        <v>12150</v>
      </c>
      <c r="I1175" s="26">
        <v>6</v>
      </c>
      <c r="J1175" s="36">
        <v>2</v>
      </c>
      <c r="K1175" s="34">
        <v>2014</v>
      </c>
      <c r="L1175" s="34">
        <v>10</v>
      </c>
      <c r="M1175" s="34">
        <v>14</v>
      </c>
      <c r="N1175" s="26"/>
    </row>
    <row r="1176" spans="1:14">
      <c r="A1176" s="26">
        <v>100101</v>
      </c>
      <c r="B1176" s="27" t="s">
        <v>915</v>
      </c>
      <c r="C1176" s="26" t="s">
        <v>46</v>
      </c>
      <c r="D1176" s="27" t="s">
        <v>199</v>
      </c>
      <c r="G1176" s="28">
        <v>3500</v>
      </c>
      <c r="H1176" s="26">
        <v>0</v>
      </c>
      <c r="I1176" s="26">
        <v>7</v>
      </c>
      <c r="J1176" s="36">
        <v>1</v>
      </c>
      <c r="K1176" s="34">
        <v>2014</v>
      </c>
      <c r="L1176" s="34">
        <v>10</v>
      </c>
      <c r="M1176" s="34">
        <v>14</v>
      </c>
      <c r="N1176" s="26"/>
    </row>
    <row r="1177" spans="1:14">
      <c r="A1177" s="26">
        <v>224101</v>
      </c>
      <c r="B1177" s="27" t="s">
        <v>915</v>
      </c>
      <c r="C1177" s="26" t="s">
        <v>140</v>
      </c>
      <c r="D1177" s="27" t="s">
        <v>12</v>
      </c>
      <c r="G1177" s="28">
        <v>0</v>
      </c>
      <c r="H1177" s="26">
        <v>3500</v>
      </c>
      <c r="I1177" s="26">
        <v>7</v>
      </c>
      <c r="J1177" s="36">
        <v>1</v>
      </c>
      <c r="K1177" s="34">
        <v>2014</v>
      </c>
      <c r="L1177" s="34">
        <v>10</v>
      </c>
      <c r="M1177" s="34">
        <v>14</v>
      </c>
      <c r="N1177" s="26"/>
    </row>
    <row r="1178" spans="1:14">
      <c r="A1178" s="26">
        <v>100101</v>
      </c>
      <c r="B1178" s="27" t="s">
        <v>916</v>
      </c>
      <c r="C1178" s="26" t="s">
        <v>46</v>
      </c>
      <c r="D1178" s="27" t="s">
        <v>199</v>
      </c>
      <c r="G1178" s="28">
        <v>14000</v>
      </c>
      <c r="H1178" s="26">
        <v>0</v>
      </c>
      <c r="I1178" s="26">
        <v>8</v>
      </c>
      <c r="J1178" s="36">
        <v>1</v>
      </c>
      <c r="K1178" s="34">
        <v>2014</v>
      </c>
      <c r="L1178" s="34">
        <v>10</v>
      </c>
      <c r="M1178" s="34">
        <v>14</v>
      </c>
      <c r="N1178" s="26"/>
    </row>
    <row r="1179" spans="1:14">
      <c r="A1179" s="26">
        <v>100201</v>
      </c>
      <c r="B1179" s="27" t="s">
        <v>917</v>
      </c>
      <c r="C1179" s="26" t="s">
        <v>47</v>
      </c>
      <c r="D1179" s="27" t="s">
        <v>48</v>
      </c>
      <c r="G1179" s="28">
        <v>0</v>
      </c>
      <c r="H1179" s="26">
        <v>14000</v>
      </c>
      <c r="I1179" s="26">
        <v>8</v>
      </c>
      <c r="J1179" s="36">
        <v>1</v>
      </c>
      <c r="K1179" s="34">
        <v>2014</v>
      </c>
      <c r="L1179" s="34">
        <v>10</v>
      </c>
      <c r="M1179" s="34">
        <v>14</v>
      </c>
      <c r="N1179" s="26"/>
    </row>
    <row r="1180" spans="1:14">
      <c r="A1180" s="26">
        <v>100201</v>
      </c>
      <c r="B1180" s="27" t="s">
        <v>918</v>
      </c>
      <c r="C1180" s="26" t="s">
        <v>47</v>
      </c>
      <c r="D1180" s="27" t="s">
        <v>48</v>
      </c>
      <c r="G1180" s="28">
        <v>6420</v>
      </c>
      <c r="H1180" s="26">
        <v>0</v>
      </c>
      <c r="I1180" s="26">
        <v>9</v>
      </c>
      <c r="J1180" s="36">
        <v>1</v>
      </c>
      <c r="K1180" s="34">
        <v>2014</v>
      </c>
      <c r="L1180" s="34">
        <v>10</v>
      </c>
      <c r="M1180" s="34">
        <v>14</v>
      </c>
      <c r="N1180" s="26"/>
    </row>
    <row r="1181" spans="1:14">
      <c r="A1181" s="26">
        <v>112204</v>
      </c>
      <c r="B1181" s="27" t="s">
        <v>722</v>
      </c>
      <c r="C1181" s="26" t="s">
        <v>49</v>
      </c>
      <c r="D1181" s="27" t="s">
        <v>255</v>
      </c>
      <c r="G1181" s="28">
        <v>0</v>
      </c>
      <c r="H1181" s="26">
        <v>1920</v>
      </c>
      <c r="I1181" s="26">
        <v>9</v>
      </c>
      <c r="J1181" s="36">
        <v>1</v>
      </c>
      <c r="K1181" s="34">
        <v>2014</v>
      </c>
      <c r="L1181" s="34">
        <v>10</v>
      </c>
      <c r="M1181" s="34">
        <v>14</v>
      </c>
      <c r="N1181" s="26"/>
    </row>
    <row r="1182" spans="1:14">
      <c r="A1182" s="26">
        <v>112204</v>
      </c>
      <c r="B1182" s="27" t="s">
        <v>919</v>
      </c>
      <c r="C1182" s="26" t="s">
        <v>49</v>
      </c>
      <c r="D1182" s="27" t="s">
        <v>255</v>
      </c>
      <c r="G1182" s="28">
        <v>0</v>
      </c>
      <c r="H1182" s="26">
        <v>4500</v>
      </c>
      <c r="I1182" s="26">
        <v>9</v>
      </c>
      <c r="J1182" s="36">
        <v>1</v>
      </c>
      <c r="K1182" s="34">
        <v>2014</v>
      </c>
      <c r="L1182" s="34">
        <v>10</v>
      </c>
      <c r="M1182" s="34">
        <v>14</v>
      </c>
      <c r="N1182" s="26"/>
    </row>
    <row r="1183" spans="1:14">
      <c r="A1183" s="26">
        <v>100101</v>
      </c>
      <c r="B1183" s="27" t="s">
        <v>920</v>
      </c>
      <c r="C1183" s="26" t="s">
        <v>46</v>
      </c>
      <c r="D1183" s="27" t="s">
        <v>199</v>
      </c>
      <c r="G1183" s="28">
        <v>0</v>
      </c>
      <c r="H1183" s="26">
        <v>5841.86</v>
      </c>
      <c r="I1183" s="26">
        <v>10</v>
      </c>
      <c r="J1183" s="36">
        <v>1</v>
      </c>
      <c r="K1183" s="34">
        <v>2014</v>
      </c>
      <c r="L1183" s="34">
        <v>10</v>
      </c>
      <c r="M1183" s="34">
        <v>14</v>
      </c>
      <c r="N1183" s="26"/>
    </row>
    <row r="1184" spans="1:14">
      <c r="A1184" s="26">
        <v>224101</v>
      </c>
      <c r="B1184" s="27" t="s">
        <v>921</v>
      </c>
      <c r="C1184" s="26" t="s">
        <v>140</v>
      </c>
      <c r="D1184" s="27" t="s">
        <v>12</v>
      </c>
      <c r="G1184" s="28">
        <v>5841.86</v>
      </c>
      <c r="H1184" s="26">
        <v>0</v>
      </c>
      <c r="I1184" s="26">
        <v>10</v>
      </c>
      <c r="J1184" s="36">
        <v>1</v>
      </c>
      <c r="K1184" s="34">
        <v>2014</v>
      </c>
      <c r="L1184" s="34">
        <v>10</v>
      </c>
      <c r="M1184" s="34">
        <v>14</v>
      </c>
      <c r="N1184" s="26"/>
    </row>
    <row r="1185" spans="1:14">
      <c r="A1185" s="26">
        <v>560206</v>
      </c>
      <c r="B1185" s="27" t="s">
        <v>922</v>
      </c>
      <c r="C1185" s="26" t="s">
        <v>166</v>
      </c>
      <c r="D1185" s="27" t="s">
        <v>172</v>
      </c>
      <c r="G1185" s="28">
        <v>-5</v>
      </c>
      <c r="H1185" s="26">
        <v>0</v>
      </c>
      <c r="I1185" s="26">
        <v>11</v>
      </c>
      <c r="K1185" s="34">
        <v>2014</v>
      </c>
      <c r="L1185" s="34">
        <v>10</v>
      </c>
      <c r="M1185" s="34">
        <v>14</v>
      </c>
      <c r="N1185" s="26"/>
    </row>
    <row r="1186" spans="1:14">
      <c r="A1186" s="26">
        <v>100101</v>
      </c>
      <c r="B1186" s="27" t="s">
        <v>922</v>
      </c>
      <c r="C1186" s="26" t="s">
        <v>46</v>
      </c>
      <c r="D1186" s="27" t="s">
        <v>199</v>
      </c>
      <c r="G1186" s="28">
        <v>0</v>
      </c>
      <c r="H1186" s="26">
        <v>-5</v>
      </c>
      <c r="I1186" s="26">
        <v>11</v>
      </c>
      <c r="K1186" s="34">
        <v>2014</v>
      </c>
      <c r="L1186" s="34">
        <v>10</v>
      </c>
      <c r="M1186" s="34">
        <v>14</v>
      </c>
      <c r="N1186" s="26"/>
    </row>
    <row r="1187" spans="1:14">
      <c r="A1187" s="26">
        <v>100201</v>
      </c>
      <c r="B1187" s="27" t="s">
        <v>923</v>
      </c>
      <c r="C1187" s="26" t="s">
        <v>47</v>
      </c>
      <c r="D1187" s="27" t="s">
        <v>48</v>
      </c>
      <c r="G1187" s="28">
        <v>3200</v>
      </c>
      <c r="H1187" s="26">
        <v>0</v>
      </c>
      <c r="I1187" s="26">
        <v>12</v>
      </c>
      <c r="J1187" s="36">
        <v>3</v>
      </c>
      <c r="K1187" s="34">
        <v>2014</v>
      </c>
      <c r="L1187" s="34">
        <v>10</v>
      </c>
      <c r="M1187" s="34">
        <v>14</v>
      </c>
      <c r="N1187" s="26"/>
    </row>
    <row r="1188" spans="1:14">
      <c r="A1188" s="26">
        <v>224101</v>
      </c>
      <c r="B1188" s="27" t="s">
        <v>924</v>
      </c>
      <c r="C1188" s="26" t="s">
        <v>140</v>
      </c>
      <c r="D1188" s="27" t="s">
        <v>12</v>
      </c>
      <c r="G1188" s="28">
        <v>0</v>
      </c>
      <c r="H1188" s="26">
        <v>2000</v>
      </c>
      <c r="I1188" s="26">
        <v>12</v>
      </c>
      <c r="J1188" s="36">
        <v>3</v>
      </c>
      <c r="K1188" s="34">
        <v>2014</v>
      </c>
      <c r="L1188" s="34">
        <v>10</v>
      </c>
      <c r="M1188" s="34">
        <v>14</v>
      </c>
      <c r="N1188" s="26"/>
    </row>
    <row r="1189" spans="1:14">
      <c r="A1189" s="26">
        <v>224101</v>
      </c>
      <c r="B1189" s="27" t="s">
        <v>924</v>
      </c>
      <c r="C1189" s="26" t="s">
        <v>140</v>
      </c>
      <c r="D1189" s="27" t="s">
        <v>12</v>
      </c>
      <c r="G1189" s="28">
        <v>0</v>
      </c>
      <c r="H1189" s="26">
        <v>1200</v>
      </c>
      <c r="I1189" s="26">
        <v>12</v>
      </c>
      <c r="J1189" s="36">
        <v>3</v>
      </c>
      <c r="K1189" s="34">
        <v>2014</v>
      </c>
      <c r="L1189" s="34">
        <v>10</v>
      </c>
      <c r="M1189" s="34">
        <v>14</v>
      </c>
      <c r="N1189" s="26"/>
    </row>
    <row r="1190" spans="1:14">
      <c r="A1190" s="26">
        <v>100201</v>
      </c>
      <c r="B1190" s="27" t="s">
        <v>925</v>
      </c>
      <c r="C1190" s="26" t="s">
        <v>47</v>
      </c>
      <c r="D1190" s="27" t="s">
        <v>48</v>
      </c>
      <c r="G1190" s="28">
        <v>3500</v>
      </c>
      <c r="H1190" s="26">
        <v>0</v>
      </c>
      <c r="I1190" s="26">
        <v>13</v>
      </c>
      <c r="J1190" s="36">
        <v>2</v>
      </c>
      <c r="K1190" s="34">
        <v>2014</v>
      </c>
      <c r="L1190" s="34">
        <v>10</v>
      </c>
      <c r="M1190" s="34">
        <v>14</v>
      </c>
      <c r="N1190" s="26"/>
    </row>
    <row r="1191" spans="1:14">
      <c r="A1191" s="26">
        <v>100201</v>
      </c>
      <c r="B1191" s="27" t="s">
        <v>926</v>
      </c>
      <c r="C1191" s="26" t="s">
        <v>47</v>
      </c>
      <c r="D1191" s="27" t="s">
        <v>48</v>
      </c>
      <c r="G1191" s="28">
        <v>4000</v>
      </c>
      <c r="H1191" s="26">
        <v>0</v>
      </c>
      <c r="I1191" s="26">
        <v>13</v>
      </c>
      <c r="J1191" s="36">
        <v>2</v>
      </c>
      <c r="K1191" s="34">
        <v>2014</v>
      </c>
      <c r="L1191" s="34">
        <v>10</v>
      </c>
      <c r="M1191" s="34">
        <v>14</v>
      </c>
      <c r="N1191" s="26"/>
    </row>
    <row r="1192" spans="1:14">
      <c r="A1192" s="26">
        <v>112204</v>
      </c>
      <c r="B1192" s="27" t="s">
        <v>927</v>
      </c>
      <c r="C1192" s="26" t="s">
        <v>49</v>
      </c>
      <c r="D1192" s="27" t="s">
        <v>255</v>
      </c>
      <c r="G1192" s="28">
        <v>0</v>
      </c>
      <c r="H1192" s="26">
        <v>3500</v>
      </c>
      <c r="I1192" s="26">
        <v>13</v>
      </c>
      <c r="J1192" s="36">
        <v>2</v>
      </c>
      <c r="K1192" s="34">
        <v>2014</v>
      </c>
      <c r="L1192" s="34">
        <v>10</v>
      </c>
      <c r="M1192" s="34">
        <v>14</v>
      </c>
      <c r="N1192" s="26"/>
    </row>
    <row r="1193" spans="1:14">
      <c r="A1193" s="26">
        <v>112204</v>
      </c>
      <c r="B1193" s="27" t="s">
        <v>928</v>
      </c>
      <c r="C1193" s="26" t="s">
        <v>49</v>
      </c>
      <c r="D1193" s="27" t="s">
        <v>255</v>
      </c>
      <c r="G1193" s="28">
        <v>0</v>
      </c>
      <c r="H1193" s="26">
        <v>4000</v>
      </c>
      <c r="I1193" s="26">
        <v>13</v>
      </c>
      <c r="J1193" s="36">
        <v>2</v>
      </c>
      <c r="K1193" s="34">
        <v>2014</v>
      </c>
      <c r="L1193" s="34">
        <v>10</v>
      </c>
      <c r="M1193" s="34">
        <v>14</v>
      </c>
      <c r="N1193" s="26"/>
    </row>
    <row r="1194" spans="1:14">
      <c r="A1194" s="26">
        <v>140501</v>
      </c>
      <c r="B1194" s="27" t="s">
        <v>929</v>
      </c>
      <c r="C1194" s="26" t="s">
        <v>89</v>
      </c>
      <c r="D1194" s="27" t="s">
        <v>199</v>
      </c>
      <c r="G1194" s="28">
        <v>231130.47</v>
      </c>
      <c r="H1194" s="26">
        <v>0</v>
      </c>
      <c r="I1194" s="26">
        <v>14</v>
      </c>
      <c r="J1194" s="36">
        <v>2</v>
      </c>
      <c r="K1194" s="34">
        <v>2014</v>
      </c>
      <c r="L1194" s="34">
        <v>10</v>
      </c>
      <c r="M1194" s="34">
        <v>14</v>
      </c>
      <c r="N1194" s="26"/>
    </row>
    <row r="1195" spans="1:14">
      <c r="A1195" s="26">
        <v>222121</v>
      </c>
      <c r="B1195" s="27" t="s">
        <v>929</v>
      </c>
      <c r="C1195" s="26" t="s">
        <v>126</v>
      </c>
      <c r="D1195" s="27" t="s">
        <v>133</v>
      </c>
      <c r="G1195" s="28">
        <v>38669.53</v>
      </c>
      <c r="H1195" s="26">
        <v>0</v>
      </c>
      <c r="I1195" s="26">
        <v>14</v>
      </c>
      <c r="J1195" s="36">
        <v>2</v>
      </c>
      <c r="K1195" s="34">
        <v>2014</v>
      </c>
      <c r="L1195" s="34">
        <v>10</v>
      </c>
      <c r="M1195" s="34">
        <v>14</v>
      </c>
      <c r="N1195" s="26"/>
    </row>
    <row r="1196" spans="1:14">
      <c r="A1196" s="26">
        <v>220204</v>
      </c>
      <c r="B1196" s="27" t="s">
        <v>929</v>
      </c>
      <c r="C1196" s="26" t="s">
        <v>102</v>
      </c>
      <c r="D1196" s="27" t="s">
        <v>930</v>
      </c>
      <c r="G1196" s="28">
        <v>0</v>
      </c>
      <c r="H1196" s="26">
        <v>269800</v>
      </c>
      <c r="I1196" s="26">
        <v>14</v>
      </c>
      <c r="J1196" s="36">
        <v>2</v>
      </c>
      <c r="K1196" s="34">
        <v>2014</v>
      </c>
      <c r="L1196" s="34">
        <v>10</v>
      </c>
      <c r="M1196" s="34">
        <v>14</v>
      </c>
      <c r="N1196" s="26"/>
    </row>
    <row r="1197" spans="1:14">
      <c r="A1197" s="26">
        <v>140501</v>
      </c>
      <c r="B1197" s="27" t="s">
        <v>931</v>
      </c>
      <c r="C1197" s="26" t="s">
        <v>89</v>
      </c>
      <c r="D1197" s="27" t="s">
        <v>199</v>
      </c>
      <c r="G1197" s="28">
        <v>4324.32</v>
      </c>
      <c r="H1197" s="26">
        <v>0</v>
      </c>
      <c r="I1197" s="26">
        <v>15</v>
      </c>
      <c r="J1197" s="36">
        <v>1</v>
      </c>
      <c r="K1197" s="34">
        <v>2014</v>
      </c>
      <c r="L1197" s="34">
        <v>10</v>
      </c>
      <c r="M1197" s="34">
        <v>14</v>
      </c>
      <c r="N1197" s="26"/>
    </row>
    <row r="1198" spans="1:14">
      <c r="A1198" s="26">
        <v>222121</v>
      </c>
      <c r="B1198" s="27" t="s">
        <v>931</v>
      </c>
      <c r="C1198" s="26" t="s">
        <v>126</v>
      </c>
      <c r="D1198" s="27" t="s">
        <v>133</v>
      </c>
      <c r="G1198" s="28">
        <v>475.68</v>
      </c>
      <c r="H1198" s="26">
        <v>0</v>
      </c>
      <c r="I1198" s="26">
        <v>15</v>
      </c>
      <c r="J1198" s="36">
        <v>1</v>
      </c>
      <c r="K1198" s="34">
        <v>2014</v>
      </c>
      <c r="L1198" s="34">
        <v>10</v>
      </c>
      <c r="M1198" s="34">
        <v>14</v>
      </c>
      <c r="N1198" s="26"/>
    </row>
    <row r="1199" spans="1:14">
      <c r="A1199" s="26">
        <v>122105</v>
      </c>
      <c r="B1199" s="27" t="s">
        <v>931</v>
      </c>
      <c r="C1199" s="26" t="s">
        <v>78</v>
      </c>
      <c r="D1199" s="27" t="s">
        <v>83</v>
      </c>
      <c r="G1199" s="28">
        <v>0</v>
      </c>
      <c r="H1199" s="26">
        <v>4800</v>
      </c>
      <c r="I1199" s="26">
        <v>15</v>
      </c>
      <c r="J1199" s="36">
        <v>1</v>
      </c>
      <c r="K1199" s="34">
        <v>2014</v>
      </c>
      <c r="L1199" s="34">
        <v>10</v>
      </c>
      <c r="M1199" s="34">
        <v>14</v>
      </c>
      <c r="N1199" s="26"/>
    </row>
    <row r="1200" spans="1:14">
      <c r="A1200" s="26">
        <v>560301</v>
      </c>
      <c r="B1200" s="27" t="s">
        <v>178</v>
      </c>
      <c r="C1200" s="26" t="s">
        <v>177</v>
      </c>
      <c r="D1200" s="27" t="s">
        <v>199</v>
      </c>
      <c r="G1200" s="28">
        <v>20</v>
      </c>
      <c r="H1200" s="26">
        <v>0</v>
      </c>
      <c r="I1200" s="26">
        <v>16</v>
      </c>
      <c r="J1200" s="36">
        <v>3</v>
      </c>
      <c r="K1200" s="34">
        <v>2014</v>
      </c>
      <c r="L1200" s="34">
        <v>10</v>
      </c>
      <c r="M1200" s="34">
        <v>29</v>
      </c>
      <c r="N1200" s="26"/>
    </row>
    <row r="1201" spans="1:14">
      <c r="A1201" s="26">
        <v>100201</v>
      </c>
      <c r="B1201" s="27" t="s">
        <v>932</v>
      </c>
      <c r="C1201" s="26" t="s">
        <v>47</v>
      </c>
      <c r="D1201" s="27" t="s">
        <v>48</v>
      </c>
      <c r="G1201" s="28">
        <v>0</v>
      </c>
      <c r="H1201" s="26">
        <v>10</v>
      </c>
      <c r="I1201" s="26">
        <v>16</v>
      </c>
      <c r="J1201" s="36">
        <v>3</v>
      </c>
      <c r="K1201" s="34">
        <v>2014</v>
      </c>
      <c r="L1201" s="34">
        <v>10</v>
      </c>
      <c r="M1201" s="34">
        <v>29</v>
      </c>
      <c r="N1201" s="26"/>
    </row>
    <row r="1202" spans="1:14">
      <c r="A1202" s="26">
        <v>100201</v>
      </c>
      <c r="B1202" s="27" t="s">
        <v>933</v>
      </c>
      <c r="C1202" s="26" t="s">
        <v>47</v>
      </c>
      <c r="D1202" s="27" t="s">
        <v>48</v>
      </c>
      <c r="G1202" s="28">
        <v>0</v>
      </c>
      <c r="H1202" s="26">
        <v>5</v>
      </c>
      <c r="I1202" s="26">
        <v>16</v>
      </c>
      <c r="J1202" s="36">
        <v>3</v>
      </c>
      <c r="K1202" s="34">
        <v>2014</v>
      </c>
      <c r="L1202" s="34">
        <v>10</v>
      </c>
      <c r="M1202" s="34">
        <v>29</v>
      </c>
      <c r="N1202" s="26"/>
    </row>
    <row r="1203" spans="1:14">
      <c r="A1203" s="26">
        <v>100201</v>
      </c>
      <c r="B1203" s="27" t="s">
        <v>934</v>
      </c>
      <c r="C1203" s="26" t="s">
        <v>47</v>
      </c>
      <c r="D1203" s="27" t="s">
        <v>48</v>
      </c>
      <c r="G1203" s="28">
        <v>0</v>
      </c>
      <c r="H1203" s="26">
        <v>5</v>
      </c>
      <c r="I1203" s="26">
        <v>16</v>
      </c>
      <c r="J1203" s="36">
        <v>3</v>
      </c>
      <c r="K1203" s="34">
        <v>2014</v>
      </c>
      <c r="L1203" s="34">
        <v>10</v>
      </c>
      <c r="M1203" s="34">
        <v>29</v>
      </c>
      <c r="N1203" s="26"/>
    </row>
    <row r="1204" spans="1:14">
      <c r="A1204" s="26">
        <v>222101</v>
      </c>
      <c r="B1204" s="27" t="s">
        <v>935</v>
      </c>
      <c r="C1204" s="26" t="s">
        <v>126</v>
      </c>
      <c r="D1204" s="27" t="s">
        <v>127</v>
      </c>
      <c r="G1204" s="28">
        <v>6303.06</v>
      </c>
      <c r="H1204" s="26">
        <v>0</v>
      </c>
      <c r="I1204" s="26">
        <v>17</v>
      </c>
      <c r="J1204" s="36">
        <v>1</v>
      </c>
      <c r="K1204" s="34">
        <v>2014</v>
      </c>
      <c r="L1204" s="34">
        <v>10</v>
      </c>
      <c r="M1204" s="34">
        <v>29</v>
      </c>
      <c r="N1204" s="26"/>
    </row>
    <row r="1205" spans="1:14">
      <c r="A1205" s="26">
        <v>100201</v>
      </c>
      <c r="B1205" s="27" t="s">
        <v>935</v>
      </c>
      <c r="C1205" s="26" t="s">
        <v>47</v>
      </c>
      <c r="D1205" s="27" t="s">
        <v>48</v>
      </c>
      <c r="G1205" s="28">
        <v>0</v>
      </c>
      <c r="H1205" s="26">
        <v>6303.06</v>
      </c>
      <c r="I1205" s="26">
        <v>17</v>
      </c>
      <c r="J1205" s="36">
        <v>1</v>
      </c>
      <c r="K1205" s="34">
        <v>2014</v>
      </c>
      <c r="L1205" s="34">
        <v>10</v>
      </c>
      <c r="M1205" s="34">
        <v>29</v>
      </c>
      <c r="N1205" s="26"/>
    </row>
    <row r="1206" spans="1:14">
      <c r="A1206" s="26">
        <v>222103</v>
      </c>
      <c r="B1206" s="27" t="s">
        <v>936</v>
      </c>
      <c r="C1206" s="26" t="s">
        <v>126</v>
      </c>
      <c r="D1206" s="27" t="s">
        <v>129</v>
      </c>
      <c r="G1206" s="28">
        <v>451.89</v>
      </c>
      <c r="H1206" s="26">
        <v>0</v>
      </c>
      <c r="I1206" s="26">
        <v>18</v>
      </c>
      <c r="J1206" s="36">
        <v>1</v>
      </c>
      <c r="K1206" s="34">
        <v>2014</v>
      </c>
      <c r="L1206" s="34">
        <v>10</v>
      </c>
      <c r="M1206" s="34">
        <v>29</v>
      </c>
      <c r="N1206" s="26"/>
    </row>
    <row r="1207" spans="1:14">
      <c r="A1207" s="26">
        <v>222104</v>
      </c>
      <c r="B1207" s="27" t="s">
        <v>936</v>
      </c>
      <c r="C1207" s="26" t="s">
        <v>126</v>
      </c>
      <c r="D1207" s="27" t="s">
        <v>130</v>
      </c>
      <c r="G1207" s="28">
        <v>193.67</v>
      </c>
      <c r="H1207" s="26">
        <v>0</v>
      </c>
      <c r="I1207" s="26">
        <v>18</v>
      </c>
      <c r="J1207" s="36">
        <v>1</v>
      </c>
      <c r="K1207" s="34">
        <v>2014</v>
      </c>
      <c r="L1207" s="34">
        <v>10</v>
      </c>
      <c r="M1207" s="34">
        <v>29</v>
      </c>
      <c r="N1207" s="26"/>
    </row>
    <row r="1208" spans="1:14">
      <c r="A1208" s="26">
        <v>222105</v>
      </c>
      <c r="B1208" s="27" t="s">
        <v>936</v>
      </c>
      <c r="C1208" s="26" t="s">
        <v>126</v>
      </c>
      <c r="D1208" s="27" t="s">
        <v>131</v>
      </c>
      <c r="G1208" s="28">
        <v>129.11</v>
      </c>
      <c r="H1208" s="26">
        <v>0</v>
      </c>
      <c r="I1208" s="26">
        <v>18</v>
      </c>
      <c r="J1208" s="36">
        <v>1</v>
      </c>
      <c r="K1208" s="34">
        <v>2014</v>
      </c>
      <c r="L1208" s="34">
        <v>10</v>
      </c>
      <c r="M1208" s="34">
        <v>29</v>
      </c>
      <c r="N1208" s="26"/>
    </row>
    <row r="1209" spans="1:14">
      <c r="A1209" s="26">
        <v>100201</v>
      </c>
      <c r="B1209" s="27" t="s">
        <v>937</v>
      </c>
      <c r="C1209" s="26" t="s">
        <v>47</v>
      </c>
      <c r="D1209" s="27" t="s">
        <v>48</v>
      </c>
      <c r="G1209" s="28">
        <v>0</v>
      </c>
      <c r="H1209" s="26">
        <v>774.67</v>
      </c>
      <c r="I1209" s="26">
        <v>18</v>
      </c>
      <c r="J1209" s="36">
        <v>1</v>
      </c>
      <c r="K1209" s="34">
        <v>2014</v>
      </c>
      <c r="L1209" s="34">
        <v>10</v>
      </c>
      <c r="M1209" s="34">
        <v>29</v>
      </c>
      <c r="N1209" s="26"/>
    </row>
    <row r="1210" spans="1:14">
      <c r="A1210" s="26">
        <v>221104</v>
      </c>
      <c r="B1210" s="27" t="s">
        <v>938</v>
      </c>
      <c r="C1210" s="26" t="s">
        <v>113</v>
      </c>
      <c r="D1210" s="27" t="s">
        <v>117</v>
      </c>
      <c r="G1210" s="28">
        <v>2792.79</v>
      </c>
      <c r="H1210" s="26">
        <v>0</v>
      </c>
      <c r="I1210" s="26">
        <v>19</v>
      </c>
      <c r="J1210" s="36">
        <v>1</v>
      </c>
      <c r="K1210" s="34">
        <v>2014</v>
      </c>
      <c r="L1210" s="34">
        <v>10</v>
      </c>
      <c r="M1210" s="34">
        <v>29</v>
      </c>
      <c r="N1210" s="26"/>
    </row>
    <row r="1211" spans="1:14">
      <c r="A1211" s="26">
        <v>100201</v>
      </c>
      <c r="B1211" s="27" t="s">
        <v>939</v>
      </c>
      <c r="C1211" s="26" t="s">
        <v>47</v>
      </c>
      <c r="D1211" s="27" t="s">
        <v>48</v>
      </c>
      <c r="G1211" s="28">
        <v>0</v>
      </c>
      <c r="H1211" s="26">
        <v>2792.79</v>
      </c>
      <c r="I1211" s="26">
        <v>19</v>
      </c>
      <c r="J1211" s="36">
        <v>1</v>
      </c>
      <c r="K1211" s="34">
        <v>2014</v>
      </c>
      <c r="L1211" s="34">
        <v>10</v>
      </c>
      <c r="M1211" s="34">
        <v>29</v>
      </c>
      <c r="N1211" s="26"/>
    </row>
    <row r="1212" spans="1:14">
      <c r="A1212" s="26">
        <v>224104</v>
      </c>
      <c r="B1212" s="27" t="s">
        <v>940</v>
      </c>
      <c r="C1212" s="26" t="s">
        <v>140</v>
      </c>
      <c r="D1212" s="27" t="s">
        <v>142</v>
      </c>
      <c r="G1212" s="28">
        <v>308.34</v>
      </c>
      <c r="H1212" s="26">
        <v>0</v>
      </c>
      <c r="I1212" s="26">
        <v>20</v>
      </c>
      <c r="J1212" s="36">
        <v>1</v>
      </c>
      <c r="K1212" s="34">
        <v>2014</v>
      </c>
      <c r="L1212" s="34">
        <v>10</v>
      </c>
      <c r="M1212" s="34">
        <v>29</v>
      </c>
      <c r="N1212" s="26"/>
    </row>
    <row r="1213" spans="1:14">
      <c r="A1213" s="26">
        <v>560209</v>
      </c>
      <c r="B1213" s="27" t="s">
        <v>940</v>
      </c>
      <c r="C1213" s="26" t="s">
        <v>166</v>
      </c>
      <c r="D1213" s="27" t="s">
        <v>175</v>
      </c>
      <c r="G1213" s="28">
        <v>52</v>
      </c>
      <c r="H1213" s="26">
        <v>0</v>
      </c>
      <c r="I1213" s="26">
        <v>20</v>
      </c>
      <c r="J1213" s="36">
        <v>1</v>
      </c>
      <c r="K1213" s="34">
        <v>2014</v>
      </c>
      <c r="L1213" s="34">
        <v>10</v>
      </c>
      <c r="M1213" s="34">
        <v>29</v>
      </c>
      <c r="N1213" s="26"/>
    </row>
    <row r="1214" spans="1:14">
      <c r="A1214" s="26">
        <v>560206</v>
      </c>
      <c r="B1214" s="27" t="s">
        <v>940</v>
      </c>
      <c r="C1214" s="26" t="s">
        <v>166</v>
      </c>
      <c r="D1214" s="27" t="s">
        <v>172</v>
      </c>
      <c r="G1214" s="28">
        <v>36</v>
      </c>
      <c r="H1214" s="26">
        <v>0</v>
      </c>
      <c r="I1214" s="26">
        <v>20</v>
      </c>
      <c r="J1214" s="36">
        <v>1</v>
      </c>
      <c r="K1214" s="34">
        <v>2014</v>
      </c>
      <c r="L1214" s="34">
        <v>10</v>
      </c>
      <c r="M1214" s="34">
        <v>29</v>
      </c>
      <c r="N1214" s="26"/>
    </row>
    <row r="1215" spans="1:14">
      <c r="A1215" s="26">
        <v>100201</v>
      </c>
      <c r="B1215" s="27" t="s">
        <v>940</v>
      </c>
      <c r="C1215" s="26" t="s">
        <v>47</v>
      </c>
      <c r="D1215" s="27" t="s">
        <v>48</v>
      </c>
      <c r="G1215" s="28">
        <v>0</v>
      </c>
      <c r="H1215" s="26">
        <v>396.34</v>
      </c>
      <c r="I1215" s="26">
        <v>20</v>
      </c>
      <c r="J1215" s="36">
        <v>1</v>
      </c>
      <c r="K1215" s="34">
        <v>2014</v>
      </c>
      <c r="L1215" s="34">
        <v>10</v>
      </c>
      <c r="M1215" s="34">
        <v>29</v>
      </c>
      <c r="N1215" s="26"/>
    </row>
    <row r="1216" spans="1:14">
      <c r="A1216" s="26">
        <v>222105</v>
      </c>
      <c r="B1216" s="27" t="s">
        <v>941</v>
      </c>
      <c r="C1216" s="26" t="s">
        <v>126</v>
      </c>
      <c r="D1216" s="27" t="s">
        <v>131</v>
      </c>
      <c r="G1216" s="28">
        <v>92.5</v>
      </c>
      <c r="H1216" s="26">
        <v>0</v>
      </c>
      <c r="I1216" s="26">
        <v>21</v>
      </c>
      <c r="J1216" s="36">
        <v>1</v>
      </c>
      <c r="K1216" s="34">
        <v>2014</v>
      </c>
      <c r="L1216" s="34">
        <v>10</v>
      </c>
      <c r="M1216" s="34">
        <v>29</v>
      </c>
      <c r="N1216" s="26"/>
    </row>
    <row r="1217" spans="1:14">
      <c r="A1217" s="26">
        <v>100201</v>
      </c>
      <c r="B1217" s="27" t="s">
        <v>942</v>
      </c>
      <c r="C1217" s="26" t="s">
        <v>47</v>
      </c>
      <c r="D1217" s="27" t="s">
        <v>48</v>
      </c>
      <c r="G1217" s="28">
        <v>0</v>
      </c>
      <c r="H1217" s="26">
        <v>92.5</v>
      </c>
      <c r="I1217" s="26">
        <v>21</v>
      </c>
      <c r="J1217" s="36">
        <v>1</v>
      </c>
      <c r="K1217" s="34">
        <v>2014</v>
      </c>
      <c r="L1217" s="34">
        <v>10</v>
      </c>
      <c r="M1217" s="34">
        <v>29</v>
      </c>
      <c r="N1217" s="26"/>
    </row>
    <row r="1218" spans="1:14">
      <c r="A1218" s="26">
        <v>224101</v>
      </c>
      <c r="B1218" s="27" t="s">
        <v>943</v>
      </c>
      <c r="C1218" s="26" t="s">
        <v>140</v>
      </c>
      <c r="D1218" s="27" t="s">
        <v>12</v>
      </c>
      <c r="G1218" s="28">
        <v>0</v>
      </c>
      <c r="H1218" s="26">
        <v>2500</v>
      </c>
      <c r="I1218" s="26">
        <v>22</v>
      </c>
      <c r="J1218" s="36">
        <v>2</v>
      </c>
      <c r="K1218" s="34">
        <v>2014</v>
      </c>
      <c r="L1218" s="34">
        <v>10</v>
      </c>
      <c r="M1218" s="34">
        <v>29</v>
      </c>
      <c r="N1218" s="26"/>
    </row>
    <row r="1219" spans="1:14">
      <c r="A1219" s="26">
        <v>100201</v>
      </c>
      <c r="B1219" s="27" t="s">
        <v>944</v>
      </c>
      <c r="C1219" s="26" t="s">
        <v>47</v>
      </c>
      <c r="D1219" s="27" t="s">
        <v>48</v>
      </c>
      <c r="G1219" s="28">
        <v>2500</v>
      </c>
      <c r="H1219" s="26">
        <v>0</v>
      </c>
      <c r="I1219" s="26">
        <v>22</v>
      </c>
      <c r="J1219" s="36">
        <v>2</v>
      </c>
      <c r="K1219" s="34">
        <v>2014</v>
      </c>
      <c r="L1219" s="34">
        <v>10</v>
      </c>
      <c r="M1219" s="34">
        <v>29</v>
      </c>
      <c r="N1219" s="26"/>
    </row>
    <row r="1220" spans="1:14">
      <c r="A1220" s="26">
        <v>560201</v>
      </c>
      <c r="B1220" s="27" t="s">
        <v>945</v>
      </c>
      <c r="C1220" s="26" t="s">
        <v>166</v>
      </c>
      <c r="D1220" s="27" t="s">
        <v>167</v>
      </c>
      <c r="G1220" s="28">
        <v>20420</v>
      </c>
      <c r="H1220" s="26">
        <v>0</v>
      </c>
      <c r="I1220" s="26">
        <v>23</v>
      </c>
      <c r="J1220" s="36">
        <v>1</v>
      </c>
      <c r="K1220" s="34">
        <v>2014</v>
      </c>
      <c r="L1220" s="34">
        <v>10</v>
      </c>
      <c r="M1220" s="34">
        <v>29</v>
      </c>
      <c r="N1220" s="26"/>
    </row>
    <row r="1221" spans="1:14">
      <c r="A1221" s="26">
        <v>221104</v>
      </c>
      <c r="B1221" s="27" t="s">
        <v>946</v>
      </c>
      <c r="C1221" s="26" t="s">
        <v>113</v>
      </c>
      <c r="D1221" s="27" t="s">
        <v>117</v>
      </c>
      <c r="G1221" s="28">
        <v>0</v>
      </c>
      <c r="H1221" s="26">
        <v>2012.52</v>
      </c>
      <c r="I1221" s="26">
        <v>23</v>
      </c>
      <c r="J1221" s="36">
        <v>1</v>
      </c>
      <c r="K1221" s="34">
        <v>2014</v>
      </c>
      <c r="L1221" s="34">
        <v>10</v>
      </c>
      <c r="M1221" s="34">
        <v>29</v>
      </c>
      <c r="N1221" s="26"/>
    </row>
    <row r="1222" spans="1:14">
      <c r="A1222" s="26">
        <v>560210</v>
      </c>
      <c r="B1222" s="27" t="s">
        <v>946</v>
      </c>
      <c r="C1222" s="26" t="s">
        <v>166</v>
      </c>
      <c r="D1222" s="27" t="s">
        <v>176</v>
      </c>
      <c r="G1222" s="28">
        <v>2012.52</v>
      </c>
      <c r="H1222" s="26">
        <v>0</v>
      </c>
      <c r="I1222" s="26">
        <v>23</v>
      </c>
      <c r="J1222" s="36">
        <v>1</v>
      </c>
      <c r="K1222" s="34">
        <v>2014</v>
      </c>
      <c r="L1222" s="34">
        <v>10</v>
      </c>
      <c r="M1222" s="34">
        <v>29</v>
      </c>
      <c r="N1222" s="26"/>
    </row>
    <row r="1223" spans="1:14">
      <c r="A1223" s="26">
        <v>221101</v>
      </c>
      <c r="B1223" s="27" t="s">
        <v>945</v>
      </c>
      <c r="C1223" s="26" t="s">
        <v>113</v>
      </c>
      <c r="D1223" s="27" t="s">
        <v>114</v>
      </c>
      <c r="G1223" s="28">
        <v>0</v>
      </c>
      <c r="H1223" s="26">
        <v>20420</v>
      </c>
      <c r="I1223" s="26">
        <v>23</v>
      </c>
      <c r="J1223" s="36">
        <v>1</v>
      </c>
      <c r="K1223" s="34">
        <v>2014</v>
      </c>
      <c r="L1223" s="34">
        <v>10</v>
      </c>
      <c r="M1223" s="34">
        <v>29</v>
      </c>
      <c r="N1223" s="26"/>
    </row>
    <row r="1224" spans="1:14">
      <c r="A1224" s="26">
        <v>221101</v>
      </c>
      <c r="B1224" s="27" t="s">
        <v>947</v>
      </c>
      <c r="C1224" s="26" t="s">
        <v>113</v>
      </c>
      <c r="D1224" s="27" t="s">
        <v>114</v>
      </c>
      <c r="G1224" s="28">
        <v>20420</v>
      </c>
      <c r="H1224" s="26">
        <v>0</v>
      </c>
      <c r="I1224" s="26">
        <v>24</v>
      </c>
      <c r="J1224" s="36">
        <v>1</v>
      </c>
      <c r="K1224" s="34">
        <v>2014</v>
      </c>
      <c r="L1224" s="34">
        <v>10</v>
      </c>
      <c r="M1224" s="34">
        <v>29</v>
      </c>
      <c r="N1224" s="26"/>
    </row>
    <row r="1225" spans="1:14">
      <c r="A1225" s="26">
        <v>221104</v>
      </c>
      <c r="B1225" s="27" t="s">
        <v>760</v>
      </c>
      <c r="C1225" s="26" t="s">
        <v>113</v>
      </c>
      <c r="D1225" s="27" t="s">
        <v>117</v>
      </c>
      <c r="G1225" s="28">
        <v>0</v>
      </c>
      <c r="H1225" s="26">
        <v>748.65</v>
      </c>
      <c r="I1225" s="26">
        <v>24</v>
      </c>
      <c r="J1225" s="36">
        <v>1</v>
      </c>
      <c r="K1225" s="34">
        <v>2014</v>
      </c>
      <c r="L1225" s="34">
        <v>10</v>
      </c>
      <c r="M1225" s="34">
        <v>29</v>
      </c>
      <c r="N1225" s="26"/>
    </row>
    <row r="1226" spans="1:14">
      <c r="A1226" s="26">
        <v>224105</v>
      </c>
      <c r="B1226" s="27" t="s">
        <v>947</v>
      </c>
      <c r="C1226" s="26" t="s">
        <v>140</v>
      </c>
      <c r="D1226" s="27" t="s">
        <v>143</v>
      </c>
      <c r="G1226" s="28">
        <v>0</v>
      </c>
      <c r="H1226" s="26">
        <v>19671.35</v>
      </c>
      <c r="I1226" s="26">
        <v>24</v>
      </c>
      <c r="J1226" s="36">
        <v>1</v>
      </c>
      <c r="K1226" s="34">
        <v>2014</v>
      </c>
      <c r="L1226" s="34">
        <v>10</v>
      </c>
      <c r="M1226" s="34">
        <v>29</v>
      </c>
      <c r="N1226" s="26"/>
    </row>
    <row r="1227" spans="1:14">
      <c r="A1227" s="26">
        <v>560202</v>
      </c>
      <c r="B1227" s="27" t="s">
        <v>948</v>
      </c>
      <c r="C1227" s="26" t="s">
        <v>166</v>
      </c>
      <c r="D1227" s="27" t="s">
        <v>168</v>
      </c>
      <c r="G1227" s="28">
        <v>564</v>
      </c>
      <c r="H1227" s="26">
        <v>0</v>
      </c>
      <c r="I1227" s="26">
        <v>25</v>
      </c>
      <c r="J1227" s="36">
        <v>1</v>
      </c>
      <c r="K1227" s="34">
        <v>2014</v>
      </c>
      <c r="L1227" s="34">
        <v>10</v>
      </c>
      <c r="M1227" s="34">
        <v>29</v>
      </c>
      <c r="N1227" s="26"/>
    </row>
    <row r="1228" spans="1:14">
      <c r="A1228" s="26">
        <v>160201</v>
      </c>
      <c r="B1228" s="27" t="s">
        <v>948</v>
      </c>
      <c r="C1228" s="26" t="s">
        <v>99</v>
      </c>
      <c r="D1228" s="27" t="s">
        <v>92</v>
      </c>
      <c r="G1228" s="28">
        <v>0</v>
      </c>
      <c r="H1228" s="26">
        <v>89</v>
      </c>
      <c r="I1228" s="26">
        <v>25</v>
      </c>
      <c r="J1228" s="36">
        <v>1</v>
      </c>
      <c r="K1228" s="34">
        <v>2014</v>
      </c>
      <c r="L1228" s="34">
        <v>10</v>
      </c>
      <c r="M1228" s="34">
        <v>29</v>
      </c>
      <c r="N1228" s="26"/>
    </row>
    <row r="1229" spans="1:14">
      <c r="A1229" s="26">
        <v>160202</v>
      </c>
      <c r="B1229" s="27" t="s">
        <v>948</v>
      </c>
      <c r="C1229" s="26" t="s">
        <v>99</v>
      </c>
      <c r="D1229" s="27" t="s">
        <v>93</v>
      </c>
      <c r="G1229" s="28">
        <v>0</v>
      </c>
      <c r="H1229" s="26">
        <v>122</v>
      </c>
      <c r="I1229" s="26">
        <v>25</v>
      </c>
      <c r="J1229" s="36">
        <v>1</v>
      </c>
      <c r="K1229" s="34">
        <v>2014</v>
      </c>
      <c r="L1229" s="34">
        <v>10</v>
      </c>
      <c r="M1229" s="34">
        <v>29</v>
      </c>
      <c r="N1229" s="26"/>
    </row>
    <row r="1230" spans="1:14">
      <c r="A1230" s="26">
        <v>160203</v>
      </c>
      <c r="B1230" s="27" t="s">
        <v>948</v>
      </c>
      <c r="C1230" s="26" t="s">
        <v>99</v>
      </c>
      <c r="D1230" s="27" t="s">
        <v>94</v>
      </c>
      <c r="G1230" s="28">
        <v>0</v>
      </c>
      <c r="H1230" s="26">
        <v>107</v>
      </c>
      <c r="I1230" s="26">
        <v>25</v>
      </c>
      <c r="J1230" s="36">
        <v>1</v>
      </c>
      <c r="K1230" s="34">
        <v>2014</v>
      </c>
      <c r="L1230" s="34">
        <v>10</v>
      </c>
      <c r="M1230" s="34">
        <v>29</v>
      </c>
      <c r="N1230" s="26"/>
    </row>
    <row r="1231" spans="1:14">
      <c r="A1231" s="26">
        <v>160204</v>
      </c>
      <c r="B1231" s="27" t="s">
        <v>948</v>
      </c>
      <c r="C1231" s="26" t="s">
        <v>99</v>
      </c>
      <c r="D1231" s="27" t="s">
        <v>95</v>
      </c>
      <c r="G1231" s="28">
        <v>0</v>
      </c>
      <c r="H1231" s="26">
        <v>58</v>
      </c>
      <c r="I1231" s="26">
        <v>25</v>
      </c>
      <c r="J1231" s="36">
        <v>1</v>
      </c>
      <c r="K1231" s="34">
        <v>2014</v>
      </c>
      <c r="L1231" s="34">
        <v>10</v>
      </c>
      <c r="M1231" s="34">
        <v>29</v>
      </c>
      <c r="N1231" s="26"/>
    </row>
    <row r="1232" spans="1:14">
      <c r="A1232" s="26">
        <v>160205</v>
      </c>
      <c r="B1232" s="27" t="s">
        <v>948</v>
      </c>
      <c r="C1232" s="26" t="s">
        <v>99</v>
      </c>
      <c r="D1232" s="27" t="s">
        <v>96</v>
      </c>
      <c r="G1232" s="28">
        <v>0</v>
      </c>
      <c r="H1232" s="26">
        <v>69</v>
      </c>
      <c r="I1232" s="26">
        <v>25</v>
      </c>
      <c r="J1232" s="36">
        <v>1</v>
      </c>
      <c r="K1232" s="34">
        <v>2014</v>
      </c>
      <c r="L1232" s="34">
        <v>10</v>
      </c>
      <c r="M1232" s="34">
        <v>29</v>
      </c>
      <c r="N1232" s="26"/>
    </row>
    <row r="1233" spans="1:14">
      <c r="A1233" s="26">
        <v>160206</v>
      </c>
      <c r="B1233" s="27" t="s">
        <v>948</v>
      </c>
      <c r="C1233" s="26" t="s">
        <v>99</v>
      </c>
      <c r="D1233" s="27" t="s">
        <v>97</v>
      </c>
      <c r="G1233" s="28">
        <v>0</v>
      </c>
      <c r="H1233" s="26">
        <v>73</v>
      </c>
      <c r="I1233" s="26">
        <v>25</v>
      </c>
      <c r="J1233" s="36">
        <v>1</v>
      </c>
      <c r="K1233" s="34">
        <v>2014</v>
      </c>
      <c r="L1233" s="34">
        <v>10</v>
      </c>
      <c r="M1233" s="34">
        <v>29</v>
      </c>
      <c r="N1233" s="26"/>
    </row>
    <row r="1234" spans="1:14">
      <c r="A1234" s="26">
        <v>160207</v>
      </c>
      <c r="B1234" s="27" t="s">
        <v>948</v>
      </c>
      <c r="C1234" s="26" t="s">
        <v>99</v>
      </c>
      <c r="D1234" s="27" t="s">
        <v>98</v>
      </c>
      <c r="G1234" s="28">
        <v>0</v>
      </c>
      <c r="H1234" s="26">
        <v>46</v>
      </c>
      <c r="I1234" s="26">
        <v>25</v>
      </c>
      <c r="J1234" s="36">
        <v>1</v>
      </c>
      <c r="K1234" s="34">
        <v>2014</v>
      </c>
      <c r="L1234" s="34">
        <v>10</v>
      </c>
      <c r="M1234" s="34">
        <v>29</v>
      </c>
      <c r="N1234" s="26"/>
    </row>
    <row r="1235" spans="1:14">
      <c r="A1235" s="26">
        <v>140501</v>
      </c>
      <c r="B1235" s="27" t="s">
        <v>88</v>
      </c>
      <c r="C1235" s="26" t="s">
        <v>89</v>
      </c>
      <c r="D1235" s="27" t="s">
        <v>199</v>
      </c>
      <c r="G1235" s="28">
        <v>123.93</v>
      </c>
      <c r="H1235" s="26">
        <v>0</v>
      </c>
      <c r="I1235" s="26">
        <v>26</v>
      </c>
      <c r="J1235" s="36">
        <v>2</v>
      </c>
      <c r="K1235" s="34">
        <v>2014</v>
      </c>
      <c r="L1235" s="34">
        <v>10</v>
      </c>
      <c r="M1235" s="34">
        <v>29</v>
      </c>
      <c r="N1235" s="26"/>
    </row>
    <row r="1236" spans="1:14">
      <c r="A1236" s="26">
        <v>222121</v>
      </c>
      <c r="B1236" s="27" t="s">
        <v>88</v>
      </c>
      <c r="C1236" s="26" t="s">
        <v>126</v>
      </c>
      <c r="D1236" s="27" t="s">
        <v>133</v>
      </c>
      <c r="G1236" s="28">
        <v>21.07</v>
      </c>
      <c r="H1236" s="26">
        <v>0</v>
      </c>
      <c r="I1236" s="26">
        <v>26</v>
      </c>
      <c r="J1236" s="36">
        <v>2</v>
      </c>
      <c r="K1236" s="34">
        <v>2014</v>
      </c>
      <c r="L1236" s="34">
        <v>10</v>
      </c>
      <c r="M1236" s="34">
        <v>29</v>
      </c>
      <c r="N1236" s="26"/>
    </row>
    <row r="1237" spans="1:14">
      <c r="A1237" s="26">
        <v>100201</v>
      </c>
      <c r="B1237" s="27" t="s">
        <v>949</v>
      </c>
      <c r="C1237" s="26" t="s">
        <v>47</v>
      </c>
      <c r="D1237" s="27" t="s">
        <v>48</v>
      </c>
      <c r="G1237" s="28">
        <v>0</v>
      </c>
      <c r="H1237" s="26">
        <v>145</v>
      </c>
      <c r="I1237" s="26">
        <v>26</v>
      </c>
      <c r="J1237" s="36">
        <v>2</v>
      </c>
      <c r="K1237" s="34">
        <v>2014</v>
      </c>
      <c r="L1237" s="34">
        <v>10</v>
      </c>
      <c r="M1237" s="34">
        <v>29</v>
      </c>
      <c r="N1237" s="26"/>
    </row>
    <row r="1238" spans="1:14">
      <c r="A1238" s="26">
        <v>220202</v>
      </c>
      <c r="B1238" s="27" t="s">
        <v>851</v>
      </c>
      <c r="C1238" s="26" t="s">
        <v>102</v>
      </c>
      <c r="D1238" s="27" t="s">
        <v>103</v>
      </c>
      <c r="G1238" s="28">
        <v>0</v>
      </c>
      <c r="H1238" s="26">
        <v>121000</v>
      </c>
      <c r="I1238" s="26">
        <v>27</v>
      </c>
      <c r="J1238" s="36">
        <v>1</v>
      </c>
      <c r="K1238" s="34">
        <v>2014</v>
      </c>
      <c r="L1238" s="34">
        <v>10</v>
      </c>
      <c r="M1238" s="34">
        <v>29</v>
      </c>
      <c r="N1238" s="26"/>
    </row>
    <row r="1239" spans="1:14">
      <c r="A1239" s="26">
        <v>140501</v>
      </c>
      <c r="B1239" s="27" t="s">
        <v>851</v>
      </c>
      <c r="C1239" s="26" t="s">
        <v>89</v>
      </c>
      <c r="D1239" s="27" t="s">
        <v>199</v>
      </c>
      <c r="G1239" s="28">
        <v>103418.8</v>
      </c>
      <c r="H1239" s="26">
        <v>0</v>
      </c>
      <c r="I1239" s="26">
        <v>27</v>
      </c>
      <c r="J1239" s="36">
        <v>1</v>
      </c>
      <c r="K1239" s="34">
        <v>2014</v>
      </c>
      <c r="L1239" s="34">
        <v>10</v>
      </c>
      <c r="M1239" s="34">
        <v>29</v>
      </c>
      <c r="N1239" s="26"/>
    </row>
    <row r="1240" spans="1:14">
      <c r="A1240" s="26">
        <v>222121</v>
      </c>
      <c r="B1240" s="27" t="s">
        <v>851</v>
      </c>
      <c r="C1240" s="26" t="s">
        <v>126</v>
      </c>
      <c r="D1240" s="27" t="s">
        <v>133</v>
      </c>
      <c r="G1240" s="28">
        <v>17581.2</v>
      </c>
      <c r="H1240" s="26">
        <v>0</v>
      </c>
      <c r="I1240" s="26">
        <v>27</v>
      </c>
      <c r="J1240" s="36">
        <v>1</v>
      </c>
      <c r="K1240" s="34">
        <v>2014</v>
      </c>
      <c r="L1240" s="34">
        <v>10</v>
      </c>
      <c r="M1240" s="34">
        <v>29</v>
      </c>
      <c r="N1240" s="26"/>
    </row>
    <row r="1241" spans="1:14">
      <c r="A1241" s="26">
        <v>560301</v>
      </c>
      <c r="B1241" s="27" t="s">
        <v>178</v>
      </c>
      <c r="C1241" s="26" t="s">
        <v>177</v>
      </c>
      <c r="D1241" s="27" t="s">
        <v>199</v>
      </c>
      <c r="G1241" s="28">
        <v>5</v>
      </c>
      <c r="H1241" s="26">
        <v>0</v>
      </c>
      <c r="I1241" s="26">
        <v>28</v>
      </c>
      <c r="J1241" s="36">
        <v>1</v>
      </c>
      <c r="K1241" s="34">
        <v>2014</v>
      </c>
      <c r="L1241" s="34">
        <v>10</v>
      </c>
      <c r="M1241" s="34">
        <v>29</v>
      </c>
      <c r="N1241" s="26"/>
    </row>
    <row r="1242" spans="1:14">
      <c r="A1242" s="26">
        <v>100201</v>
      </c>
      <c r="B1242" s="27" t="s">
        <v>950</v>
      </c>
      <c r="C1242" s="26" t="s">
        <v>47</v>
      </c>
      <c r="D1242" s="27" t="s">
        <v>48</v>
      </c>
      <c r="G1242" s="28">
        <v>0</v>
      </c>
      <c r="H1242" s="26">
        <v>5</v>
      </c>
      <c r="I1242" s="26">
        <v>28</v>
      </c>
      <c r="J1242" s="36">
        <v>1</v>
      </c>
      <c r="K1242" s="34">
        <v>2014</v>
      </c>
      <c r="L1242" s="34">
        <v>10</v>
      </c>
      <c r="M1242" s="34">
        <v>29</v>
      </c>
      <c r="N1242" s="26"/>
    </row>
    <row r="1243" spans="1:14">
      <c r="A1243" s="26">
        <v>112315</v>
      </c>
      <c r="B1243" s="27" t="s">
        <v>951</v>
      </c>
      <c r="C1243" s="26" t="s">
        <v>64</v>
      </c>
      <c r="D1243" s="27" t="s">
        <v>74</v>
      </c>
      <c r="G1243" s="28">
        <v>2500</v>
      </c>
      <c r="H1243" s="26">
        <v>0</v>
      </c>
      <c r="I1243" s="26">
        <v>29</v>
      </c>
      <c r="J1243" s="36">
        <v>1</v>
      </c>
      <c r="K1243" s="34">
        <v>2014</v>
      </c>
      <c r="L1243" s="34">
        <v>10</v>
      </c>
      <c r="M1243" s="34">
        <v>29</v>
      </c>
      <c r="N1243" s="26"/>
    </row>
    <row r="1244" spans="1:14">
      <c r="A1244" s="26">
        <v>100201</v>
      </c>
      <c r="B1244" s="27" t="s">
        <v>951</v>
      </c>
      <c r="C1244" s="26" t="s">
        <v>47</v>
      </c>
      <c r="D1244" s="27" t="s">
        <v>48</v>
      </c>
      <c r="G1244" s="28">
        <v>0</v>
      </c>
      <c r="H1244" s="26">
        <v>2500</v>
      </c>
      <c r="I1244" s="26">
        <v>29</v>
      </c>
      <c r="J1244" s="36">
        <v>1</v>
      </c>
      <c r="K1244" s="34">
        <v>2014</v>
      </c>
      <c r="L1244" s="34">
        <v>10</v>
      </c>
      <c r="M1244" s="34">
        <v>29</v>
      </c>
      <c r="N1244" s="26"/>
    </row>
    <row r="1245" spans="1:14">
      <c r="A1245" s="26">
        <v>122105</v>
      </c>
      <c r="B1245" s="27" t="s">
        <v>952</v>
      </c>
      <c r="C1245" s="26" t="s">
        <v>78</v>
      </c>
      <c r="D1245" s="27" t="s">
        <v>83</v>
      </c>
      <c r="G1245" s="28">
        <v>1294.52</v>
      </c>
      <c r="H1245" s="26">
        <v>0</v>
      </c>
      <c r="I1245" s="26">
        <v>30</v>
      </c>
      <c r="J1245" s="36">
        <v>2</v>
      </c>
      <c r="K1245" s="34">
        <v>2014</v>
      </c>
      <c r="L1245" s="34">
        <v>10</v>
      </c>
      <c r="M1245" s="34">
        <v>29</v>
      </c>
      <c r="N1245" s="26"/>
    </row>
    <row r="1246" spans="1:14">
      <c r="A1246" s="26">
        <v>100201</v>
      </c>
      <c r="B1246" s="27" t="s">
        <v>952</v>
      </c>
      <c r="C1246" s="26" t="s">
        <v>47</v>
      </c>
      <c r="D1246" s="27" t="s">
        <v>48</v>
      </c>
      <c r="G1246" s="28">
        <v>0</v>
      </c>
      <c r="H1246" s="26">
        <v>1294.52</v>
      </c>
      <c r="I1246" s="26">
        <v>30</v>
      </c>
      <c r="J1246" s="36">
        <v>2</v>
      </c>
      <c r="K1246" s="34">
        <v>2014</v>
      </c>
      <c r="L1246" s="34">
        <v>10</v>
      </c>
      <c r="M1246" s="34">
        <v>29</v>
      </c>
      <c r="N1246" s="26"/>
    </row>
    <row r="1247" spans="1:14">
      <c r="A1247" s="26">
        <v>100101</v>
      </c>
      <c r="B1247" s="27" t="s">
        <v>953</v>
      </c>
      <c r="C1247" s="26" t="s">
        <v>46</v>
      </c>
      <c r="D1247" s="27" t="s">
        <v>199</v>
      </c>
      <c r="G1247" s="28">
        <v>40</v>
      </c>
      <c r="H1247" s="26">
        <v>0</v>
      </c>
      <c r="I1247" s="26">
        <v>1</v>
      </c>
      <c r="J1247" s="36">
        <v>1</v>
      </c>
      <c r="K1247" s="34">
        <v>2014</v>
      </c>
      <c r="L1247" s="34">
        <v>11</v>
      </c>
      <c r="M1247" s="34">
        <v>5</v>
      </c>
      <c r="N1247" s="26"/>
    </row>
    <row r="1248" spans="1:14">
      <c r="A1248" s="26">
        <v>540101</v>
      </c>
      <c r="B1248" s="27" t="s">
        <v>953</v>
      </c>
      <c r="C1248" s="26" t="s">
        <v>161</v>
      </c>
      <c r="D1248" s="27" t="s">
        <v>162</v>
      </c>
      <c r="G1248" s="28">
        <v>-40</v>
      </c>
      <c r="H1248" s="26">
        <v>0</v>
      </c>
      <c r="I1248" s="26">
        <v>1</v>
      </c>
      <c r="J1248" s="36">
        <v>1</v>
      </c>
      <c r="K1248" s="34">
        <v>2014</v>
      </c>
      <c r="L1248" s="34">
        <v>11</v>
      </c>
      <c r="M1248" s="34">
        <v>5</v>
      </c>
      <c r="N1248" s="26"/>
    </row>
    <row r="1249" spans="1:14">
      <c r="A1249" s="26">
        <v>100101</v>
      </c>
      <c r="B1249" s="27" t="s">
        <v>954</v>
      </c>
      <c r="C1249" s="26" t="s">
        <v>46</v>
      </c>
      <c r="D1249" s="27" t="s">
        <v>199</v>
      </c>
      <c r="G1249" s="28">
        <v>500</v>
      </c>
      <c r="H1249" s="26">
        <v>0</v>
      </c>
      <c r="I1249" s="26">
        <v>2</v>
      </c>
      <c r="J1249" s="36">
        <v>1</v>
      </c>
      <c r="K1249" s="34">
        <v>2014</v>
      </c>
      <c r="L1249" s="34">
        <v>11</v>
      </c>
      <c r="M1249" s="34">
        <v>5</v>
      </c>
      <c r="N1249" s="26"/>
    </row>
    <row r="1250" spans="1:14">
      <c r="A1250" s="26">
        <v>224101</v>
      </c>
      <c r="B1250" s="27" t="s">
        <v>954</v>
      </c>
      <c r="C1250" s="26" t="s">
        <v>140</v>
      </c>
      <c r="D1250" s="27" t="s">
        <v>12</v>
      </c>
      <c r="G1250" s="28">
        <v>0</v>
      </c>
      <c r="H1250" s="26">
        <v>500</v>
      </c>
      <c r="I1250" s="26">
        <v>2</v>
      </c>
      <c r="J1250" s="36">
        <v>1</v>
      </c>
      <c r="K1250" s="34">
        <v>2014</v>
      </c>
      <c r="L1250" s="34">
        <v>11</v>
      </c>
      <c r="M1250" s="34">
        <v>5</v>
      </c>
      <c r="N1250" s="26"/>
    </row>
    <row r="1251" spans="1:14">
      <c r="A1251" s="26">
        <v>112204</v>
      </c>
      <c r="B1251" s="27" t="s">
        <v>955</v>
      </c>
      <c r="C1251" s="26" t="s">
        <v>49</v>
      </c>
      <c r="D1251" s="27" t="s">
        <v>53</v>
      </c>
      <c r="G1251" s="28">
        <v>0</v>
      </c>
      <c r="H1251" s="26">
        <v>1750</v>
      </c>
      <c r="I1251" s="26">
        <v>3</v>
      </c>
      <c r="J1251" s="36">
        <v>0</v>
      </c>
      <c r="K1251" s="34">
        <v>2014</v>
      </c>
      <c r="L1251" s="34">
        <v>11</v>
      </c>
      <c r="M1251" s="34">
        <v>11</v>
      </c>
      <c r="N1251" s="26"/>
    </row>
    <row r="1252" spans="1:14">
      <c r="A1252" s="26">
        <v>112207</v>
      </c>
      <c r="B1252" s="27" t="s">
        <v>955</v>
      </c>
      <c r="C1252" s="26" t="s">
        <v>49</v>
      </c>
      <c r="D1252" s="27" t="s">
        <v>56</v>
      </c>
      <c r="G1252" s="28">
        <v>0</v>
      </c>
      <c r="H1252" s="26">
        <v>-1750</v>
      </c>
      <c r="I1252" s="26">
        <v>3</v>
      </c>
      <c r="J1252" s="36">
        <v>0</v>
      </c>
      <c r="K1252" s="34">
        <v>2014</v>
      </c>
      <c r="L1252" s="34">
        <v>11</v>
      </c>
      <c r="M1252" s="34">
        <v>11</v>
      </c>
      <c r="N1252" s="26"/>
    </row>
    <row r="1253" spans="1:14">
      <c r="A1253" s="26">
        <v>112207</v>
      </c>
      <c r="B1253" s="27" t="s">
        <v>956</v>
      </c>
      <c r="C1253" s="26" t="s">
        <v>49</v>
      </c>
      <c r="D1253" s="27" t="s">
        <v>56</v>
      </c>
      <c r="G1253" s="28">
        <v>0</v>
      </c>
      <c r="H1253" s="26">
        <v>5000</v>
      </c>
      <c r="I1253" s="26">
        <v>4</v>
      </c>
      <c r="J1253" s="36">
        <v>2</v>
      </c>
      <c r="K1253" s="34">
        <v>2014</v>
      </c>
      <c r="L1253" s="34">
        <v>11</v>
      </c>
      <c r="M1253" s="34">
        <v>11</v>
      </c>
      <c r="N1253" s="26"/>
    </row>
    <row r="1254" spans="1:14">
      <c r="A1254" s="26">
        <v>100201</v>
      </c>
      <c r="B1254" s="27" t="s">
        <v>957</v>
      </c>
      <c r="C1254" s="26" t="s">
        <v>47</v>
      </c>
      <c r="D1254" s="27" t="s">
        <v>48</v>
      </c>
      <c r="G1254" s="28">
        <v>5000</v>
      </c>
      <c r="H1254" s="26">
        <v>0</v>
      </c>
      <c r="I1254" s="26">
        <v>4</v>
      </c>
      <c r="J1254" s="36">
        <v>2</v>
      </c>
      <c r="K1254" s="34">
        <v>2014</v>
      </c>
      <c r="L1254" s="34">
        <v>11</v>
      </c>
      <c r="M1254" s="34">
        <v>11</v>
      </c>
      <c r="N1254" s="26"/>
    </row>
    <row r="1255" spans="1:14">
      <c r="A1255" s="26">
        <v>112303</v>
      </c>
      <c r="B1255" s="27" t="s">
        <v>958</v>
      </c>
      <c r="C1255" s="26" t="s">
        <v>64</v>
      </c>
      <c r="D1255" s="27" t="s">
        <v>67</v>
      </c>
      <c r="G1255" s="28">
        <v>0</v>
      </c>
      <c r="H1255" s="26">
        <v>138600</v>
      </c>
      <c r="I1255" s="26">
        <v>5</v>
      </c>
      <c r="J1255" s="36">
        <v>0</v>
      </c>
      <c r="K1255" s="34">
        <v>2014</v>
      </c>
      <c r="L1255" s="34">
        <v>11</v>
      </c>
      <c r="M1255" s="34">
        <v>11</v>
      </c>
      <c r="N1255" s="26"/>
    </row>
    <row r="1256" spans="1:14">
      <c r="A1256" s="26">
        <v>220202</v>
      </c>
      <c r="B1256" s="27" t="s">
        <v>959</v>
      </c>
      <c r="C1256" s="26" t="s">
        <v>102</v>
      </c>
      <c r="D1256" s="27" t="s">
        <v>103</v>
      </c>
      <c r="G1256" s="28">
        <v>138600</v>
      </c>
      <c r="H1256" s="26">
        <v>0</v>
      </c>
      <c r="I1256" s="26">
        <v>5</v>
      </c>
      <c r="J1256" s="36">
        <v>0</v>
      </c>
      <c r="K1256" s="34">
        <v>2014</v>
      </c>
      <c r="L1256" s="34">
        <v>11</v>
      </c>
      <c r="M1256" s="34">
        <v>11</v>
      </c>
      <c r="N1256" s="26"/>
    </row>
    <row r="1257" spans="1:14">
      <c r="A1257" s="26">
        <v>560206</v>
      </c>
      <c r="B1257" s="27" t="s">
        <v>960</v>
      </c>
      <c r="C1257" s="26" t="s">
        <v>166</v>
      </c>
      <c r="D1257" s="27" t="s">
        <v>172</v>
      </c>
      <c r="G1257" s="28">
        <v>113</v>
      </c>
      <c r="H1257" s="26">
        <v>0</v>
      </c>
      <c r="I1257" s="26">
        <v>6</v>
      </c>
      <c r="J1257" s="36">
        <v>1</v>
      </c>
      <c r="K1257" s="34">
        <v>2014</v>
      </c>
      <c r="L1257" s="34">
        <v>11</v>
      </c>
      <c r="M1257" s="34">
        <v>11</v>
      </c>
      <c r="N1257" s="26"/>
    </row>
    <row r="1258" spans="1:14">
      <c r="A1258" s="26">
        <v>100101</v>
      </c>
      <c r="B1258" s="27" t="s">
        <v>960</v>
      </c>
      <c r="C1258" s="26" t="s">
        <v>46</v>
      </c>
      <c r="D1258" s="27" t="s">
        <v>199</v>
      </c>
      <c r="G1258" s="28">
        <v>0</v>
      </c>
      <c r="H1258" s="26">
        <v>113</v>
      </c>
      <c r="I1258" s="26">
        <v>6</v>
      </c>
      <c r="J1258" s="36">
        <v>1</v>
      </c>
      <c r="K1258" s="34">
        <v>2014</v>
      </c>
      <c r="L1258" s="34">
        <v>11</v>
      </c>
      <c r="M1258" s="34">
        <v>11</v>
      </c>
      <c r="N1258" s="26"/>
    </row>
    <row r="1259" spans="1:14">
      <c r="A1259" s="26">
        <v>140501</v>
      </c>
      <c r="B1259" s="27" t="s">
        <v>961</v>
      </c>
      <c r="C1259" s="26" t="s">
        <v>89</v>
      </c>
      <c r="D1259" s="27" t="s">
        <v>199</v>
      </c>
      <c r="G1259" s="28">
        <v>14957.26</v>
      </c>
      <c r="H1259" s="26">
        <v>0</v>
      </c>
      <c r="I1259" s="26">
        <v>7</v>
      </c>
      <c r="J1259" s="36">
        <v>1</v>
      </c>
      <c r="K1259" s="34">
        <v>2014</v>
      </c>
      <c r="L1259" s="34">
        <v>11</v>
      </c>
      <c r="M1259" s="34">
        <v>11</v>
      </c>
      <c r="N1259" s="26"/>
    </row>
    <row r="1260" spans="1:14">
      <c r="A1260" s="26">
        <v>222121</v>
      </c>
      <c r="B1260" s="27" t="s">
        <v>961</v>
      </c>
      <c r="C1260" s="26" t="s">
        <v>126</v>
      </c>
      <c r="D1260" s="27" t="s">
        <v>133</v>
      </c>
      <c r="G1260" s="28">
        <v>2542.74</v>
      </c>
      <c r="H1260" s="26">
        <v>0</v>
      </c>
      <c r="I1260" s="26">
        <v>7</v>
      </c>
      <c r="J1260" s="36">
        <v>1</v>
      </c>
      <c r="K1260" s="34">
        <v>2014</v>
      </c>
      <c r="L1260" s="34">
        <v>11</v>
      </c>
      <c r="M1260" s="34">
        <v>11</v>
      </c>
      <c r="N1260" s="26"/>
    </row>
    <row r="1261" spans="1:14">
      <c r="A1261" s="26">
        <v>220203</v>
      </c>
      <c r="B1261" s="27" t="s">
        <v>961</v>
      </c>
      <c r="C1261" s="26" t="s">
        <v>102</v>
      </c>
      <c r="D1261" s="27" t="s">
        <v>104</v>
      </c>
      <c r="G1261" s="28">
        <v>0</v>
      </c>
      <c r="H1261" s="26">
        <v>17500</v>
      </c>
      <c r="I1261" s="26">
        <v>7</v>
      </c>
      <c r="J1261" s="36">
        <v>1</v>
      </c>
      <c r="K1261" s="34">
        <v>2014</v>
      </c>
      <c r="L1261" s="34">
        <v>11</v>
      </c>
      <c r="M1261" s="34">
        <v>11</v>
      </c>
      <c r="N1261" s="26"/>
    </row>
    <row r="1262" spans="1:14">
      <c r="A1262" s="26">
        <v>112315</v>
      </c>
      <c r="B1262" s="27" t="s">
        <v>962</v>
      </c>
      <c r="C1262" s="26" t="s">
        <v>64</v>
      </c>
      <c r="D1262" s="27" t="s">
        <v>74</v>
      </c>
      <c r="G1262" s="28">
        <v>0</v>
      </c>
      <c r="H1262" s="26">
        <v>17500</v>
      </c>
      <c r="I1262" s="26">
        <v>8</v>
      </c>
      <c r="J1262" s="36">
        <v>0</v>
      </c>
      <c r="K1262" s="34">
        <v>2014</v>
      </c>
      <c r="L1262" s="34">
        <v>11</v>
      </c>
      <c r="M1262" s="34">
        <v>11</v>
      </c>
      <c r="N1262" s="26"/>
    </row>
    <row r="1263" spans="1:14">
      <c r="A1263" s="26">
        <v>220203</v>
      </c>
      <c r="B1263" s="27" t="s">
        <v>959</v>
      </c>
      <c r="C1263" s="26" t="s">
        <v>102</v>
      </c>
      <c r="D1263" s="27" t="s">
        <v>104</v>
      </c>
      <c r="G1263" s="28">
        <v>17500</v>
      </c>
      <c r="H1263" s="26">
        <v>0</v>
      </c>
      <c r="I1263" s="26">
        <v>8</v>
      </c>
      <c r="J1263" s="36">
        <v>0</v>
      </c>
      <c r="K1263" s="34">
        <v>2014</v>
      </c>
      <c r="L1263" s="34">
        <v>11</v>
      </c>
      <c r="M1263" s="34">
        <v>11</v>
      </c>
      <c r="N1263" s="26"/>
    </row>
    <row r="1264" spans="1:14">
      <c r="A1264" s="26">
        <v>140501</v>
      </c>
      <c r="B1264" s="27" t="s">
        <v>54</v>
      </c>
      <c r="C1264" s="26" t="s">
        <v>89</v>
      </c>
      <c r="D1264" s="27" t="s">
        <v>199</v>
      </c>
      <c r="G1264" s="28">
        <v>78.63</v>
      </c>
      <c r="H1264" s="26">
        <v>0</v>
      </c>
      <c r="I1264" s="26">
        <v>10</v>
      </c>
      <c r="J1264" s="36">
        <v>1</v>
      </c>
      <c r="K1264" s="34">
        <v>2014</v>
      </c>
      <c r="L1264" s="34">
        <v>11</v>
      </c>
      <c r="M1264" s="34">
        <v>11</v>
      </c>
      <c r="N1264" s="26"/>
    </row>
    <row r="1265" spans="1:14">
      <c r="A1265" s="26">
        <v>222121</v>
      </c>
      <c r="B1265" s="27" t="s">
        <v>54</v>
      </c>
      <c r="C1265" s="26" t="s">
        <v>126</v>
      </c>
      <c r="D1265" s="27" t="s">
        <v>133</v>
      </c>
      <c r="G1265" s="28">
        <v>13.37</v>
      </c>
      <c r="H1265" s="26">
        <v>0</v>
      </c>
      <c r="I1265" s="26">
        <v>10</v>
      </c>
      <c r="J1265" s="36">
        <v>1</v>
      </c>
      <c r="K1265" s="34">
        <v>2014</v>
      </c>
      <c r="L1265" s="34">
        <v>11</v>
      </c>
      <c r="M1265" s="34">
        <v>11</v>
      </c>
      <c r="N1265" s="26"/>
    </row>
    <row r="1266" spans="1:14">
      <c r="A1266" s="26">
        <v>100201</v>
      </c>
      <c r="B1266" s="27" t="s">
        <v>963</v>
      </c>
      <c r="C1266" s="26" t="s">
        <v>47</v>
      </c>
      <c r="D1266" s="27" t="s">
        <v>48</v>
      </c>
      <c r="G1266" s="28">
        <v>0</v>
      </c>
      <c r="H1266" s="26">
        <v>92</v>
      </c>
      <c r="I1266" s="26">
        <v>10</v>
      </c>
      <c r="J1266" s="36">
        <v>1</v>
      </c>
      <c r="K1266" s="34">
        <v>2014</v>
      </c>
      <c r="L1266" s="34">
        <v>11</v>
      </c>
      <c r="M1266" s="34">
        <v>11</v>
      </c>
      <c r="N1266" s="26"/>
    </row>
    <row r="1267" spans="1:14">
      <c r="A1267" s="26">
        <v>100101</v>
      </c>
      <c r="B1267" s="27" t="s">
        <v>916</v>
      </c>
      <c r="C1267" s="26" t="s">
        <v>46</v>
      </c>
      <c r="D1267" s="27" t="s">
        <v>199</v>
      </c>
      <c r="G1267" s="28">
        <v>5000</v>
      </c>
      <c r="H1267" s="26">
        <v>0</v>
      </c>
      <c r="I1267" s="26">
        <v>11</v>
      </c>
      <c r="J1267" s="36">
        <v>1</v>
      </c>
      <c r="K1267" s="34">
        <v>2014</v>
      </c>
      <c r="L1267" s="34">
        <v>11</v>
      </c>
      <c r="M1267" s="34">
        <v>11</v>
      </c>
      <c r="N1267" s="26"/>
    </row>
    <row r="1268" spans="1:14">
      <c r="A1268" s="26">
        <v>100201</v>
      </c>
      <c r="B1268" s="27" t="s">
        <v>964</v>
      </c>
      <c r="C1268" s="26" t="s">
        <v>47</v>
      </c>
      <c r="D1268" s="27" t="s">
        <v>48</v>
      </c>
      <c r="G1268" s="28">
        <v>0</v>
      </c>
      <c r="H1268" s="26">
        <v>5000</v>
      </c>
      <c r="I1268" s="26">
        <v>11</v>
      </c>
      <c r="J1268" s="36">
        <v>1</v>
      </c>
      <c r="K1268" s="34">
        <v>2014</v>
      </c>
      <c r="L1268" s="34">
        <v>11</v>
      </c>
      <c r="M1268" s="34">
        <v>11</v>
      </c>
      <c r="N1268" s="26"/>
    </row>
    <row r="1269" spans="1:14">
      <c r="A1269" s="26">
        <v>220202</v>
      </c>
      <c r="B1269" s="27" t="s">
        <v>965</v>
      </c>
      <c r="C1269" s="26" t="s">
        <v>102</v>
      </c>
      <c r="D1269" s="27" t="s">
        <v>103</v>
      </c>
      <c r="G1269" s="28">
        <v>0</v>
      </c>
      <c r="H1269" s="26">
        <v>5600</v>
      </c>
      <c r="I1269" s="26">
        <v>12</v>
      </c>
      <c r="J1269" s="36">
        <v>1</v>
      </c>
      <c r="K1269" s="34">
        <v>2014</v>
      </c>
      <c r="L1269" s="34">
        <v>11</v>
      </c>
      <c r="M1269" s="34">
        <v>11</v>
      </c>
      <c r="N1269" s="26"/>
    </row>
    <row r="1270" spans="1:14">
      <c r="A1270" s="26">
        <v>140501</v>
      </c>
      <c r="B1270" s="27" t="s">
        <v>965</v>
      </c>
      <c r="C1270" s="26" t="s">
        <v>89</v>
      </c>
      <c r="D1270" s="27" t="s">
        <v>199</v>
      </c>
      <c r="G1270" s="28">
        <v>5600</v>
      </c>
      <c r="H1270" s="26">
        <v>0</v>
      </c>
      <c r="I1270" s="26">
        <v>12</v>
      </c>
      <c r="J1270" s="36">
        <v>1</v>
      </c>
      <c r="K1270" s="34">
        <v>2014</v>
      </c>
      <c r="L1270" s="34">
        <v>11</v>
      </c>
      <c r="M1270" s="34">
        <v>11</v>
      </c>
      <c r="N1270" s="26"/>
    </row>
    <row r="1271" spans="1:14">
      <c r="A1271" s="26">
        <v>560204</v>
      </c>
      <c r="B1271" s="27" t="s">
        <v>966</v>
      </c>
      <c r="C1271" s="26" t="s">
        <v>166</v>
      </c>
      <c r="D1271" s="27" t="s">
        <v>170</v>
      </c>
      <c r="G1271" s="28">
        <v>654</v>
      </c>
      <c r="H1271" s="26">
        <v>0</v>
      </c>
      <c r="I1271" s="26">
        <v>13</v>
      </c>
      <c r="J1271" s="36">
        <v>7</v>
      </c>
      <c r="K1271" s="34">
        <v>2014</v>
      </c>
      <c r="L1271" s="34">
        <v>11</v>
      </c>
      <c r="M1271" s="34">
        <v>11</v>
      </c>
      <c r="N1271" s="26"/>
    </row>
    <row r="1272" spans="1:14">
      <c r="A1272" s="26">
        <v>560203</v>
      </c>
      <c r="B1272" s="27" t="s">
        <v>243</v>
      </c>
      <c r="C1272" s="26" t="s">
        <v>166</v>
      </c>
      <c r="D1272" s="27" t="s">
        <v>169</v>
      </c>
      <c r="G1272" s="28">
        <v>1087</v>
      </c>
      <c r="H1272" s="26">
        <v>0</v>
      </c>
      <c r="I1272" s="26">
        <v>13</v>
      </c>
      <c r="J1272" s="36">
        <v>7</v>
      </c>
      <c r="K1272" s="34">
        <v>2014</v>
      </c>
      <c r="L1272" s="34">
        <v>11</v>
      </c>
      <c r="M1272" s="34">
        <v>11</v>
      </c>
      <c r="N1272" s="26"/>
    </row>
    <row r="1273" spans="1:14">
      <c r="A1273" s="26">
        <v>560206</v>
      </c>
      <c r="B1273" s="27" t="s">
        <v>967</v>
      </c>
      <c r="C1273" s="26" t="s">
        <v>166</v>
      </c>
      <c r="D1273" s="27" t="s">
        <v>172</v>
      </c>
      <c r="G1273" s="28">
        <v>2480</v>
      </c>
      <c r="H1273" s="26">
        <v>0</v>
      </c>
      <c r="I1273" s="26">
        <v>13</v>
      </c>
      <c r="J1273" s="36">
        <v>7</v>
      </c>
      <c r="K1273" s="34">
        <v>2014</v>
      </c>
      <c r="L1273" s="34">
        <v>11</v>
      </c>
      <c r="M1273" s="34">
        <v>11</v>
      </c>
      <c r="N1273" s="26"/>
    </row>
    <row r="1274" spans="1:14">
      <c r="A1274" s="26">
        <v>224101</v>
      </c>
      <c r="B1274" s="27" t="s">
        <v>968</v>
      </c>
      <c r="C1274" s="26" t="s">
        <v>140</v>
      </c>
      <c r="D1274" s="27" t="s">
        <v>12</v>
      </c>
      <c r="G1274" s="28">
        <v>0</v>
      </c>
      <c r="H1274" s="26">
        <v>4221</v>
      </c>
      <c r="I1274" s="26">
        <v>13</v>
      </c>
      <c r="J1274" s="36">
        <v>7</v>
      </c>
      <c r="K1274" s="34">
        <v>2014</v>
      </c>
      <c r="L1274" s="34">
        <v>11</v>
      </c>
      <c r="M1274" s="34">
        <v>11</v>
      </c>
      <c r="N1274" s="26"/>
    </row>
    <row r="1275" spans="1:14">
      <c r="A1275" s="26">
        <v>560206</v>
      </c>
      <c r="B1275" s="27" t="s">
        <v>969</v>
      </c>
      <c r="C1275" s="26" t="s">
        <v>166</v>
      </c>
      <c r="D1275" s="27" t="s">
        <v>172</v>
      </c>
      <c r="G1275" s="28">
        <v>359.67</v>
      </c>
      <c r="H1275" s="26">
        <v>0</v>
      </c>
      <c r="I1275" s="26">
        <v>14</v>
      </c>
      <c r="J1275" s="36">
        <v>2</v>
      </c>
      <c r="K1275" s="34">
        <v>2014</v>
      </c>
      <c r="L1275" s="34">
        <v>11</v>
      </c>
      <c r="M1275" s="34">
        <v>11</v>
      </c>
      <c r="N1275" s="26"/>
    </row>
    <row r="1276" spans="1:14">
      <c r="A1276" s="26">
        <v>222121</v>
      </c>
      <c r="B1276" s="27" t="s">
        <v>969</v>
      </c>
      <c r="C1276" s="26" t="s">
        <v>126</v>
      </c>
      <c r="D1276" s="27" t="s">
        <v>133</v>
      </c>
      <c r="G1276" s="28">
        <v>61.13</v>
      </c>
      <c r="H1276" s="26">
        <v>0</v>
      </c>
      <c r="I1276" s="26">
        <v>14</v>
      </c>
      <c r="J1276" s="36">
        <v>2</v>
      </c>
      <c r="K1276" s="34">
        <v>2014</v>
      </c>
      <c r="L1276" s="34">
        <v>11</v>
      </c>
      <c r="M1276" s="34">
        <v>11</v>
      </c>
      <c r="N1276" s="26"/>
    </row>
    <row r="1277" spans="1:14">
      <c r="A1277" s="26">
        <v>224101</v>
      </c>
      <c r="B1277" s="27" t="s">
        <v>969</v>
      </c>
      <c r="C1277" s="26" t="s">
        <v>140</v>
      </c>
      <c r="D1277" s="27" t="s">
        <v>12</v>
      </c>
      <c r="G1277" s="28">
        <v>0</v>
      </c>
      <c r="H1277" s="26">
        <v>420.8</v>
      </c>
      <c r="I1277" s="26">
        <v>14</v>
      </c>
      <c r="J1277" s="36">
        <v>2</v>
      </c>
      <c r="K1277" s="34">
        <v>2014</v>
      </c>
      <c r="L1277" s="34">
        <v>11</v>
      </c>
      <c r="M1277" s="34">
        <v>11</v>
      </c>
      <c r="N1277" s="26"/>
    </row>
    <row r="1278" spans="1:14">
      <c r="A1278" s="26">
        <v>112301</v>
      </c>
      <c r="B1278" s="27" t="s">
        <v>970</v>
      </c>
      <c r="C1278" s="26" t="s">
        <v>64</v>
      </c>
      <c r="D1278" s="27" t="s">
        <v>65</v>
      </c>
      <c r="G1278" s="28">
        <v>0</v>
      </c>
      <c r="H1278" s="26">
        <v>269800</v>
      </c>
      <c r="I1278" s="26">
        <v>15</v>
      </c>
      <c r="J1278" s="36">
        <v>0</v>
      </c>
      <c r="K1278" s="34">
        <v>2014</v>
      </c>
      <c r="L1278" s="34">
        <v>11</v>
      </c>
      <c r="M1278" s="34">
        <v>11</v>
      </c>
      <c r="N1278" s="26"/>
    </row>
    <row r="1279" spans="1:14">
      <c r="A1279" s="26">
        <v>220204</v>
      </c>
      <c r="B1279" s="27" t="s">
        <v>959</v>
      </c>
      <c r="C1279" s="26" t="s">
        <v>102</v>
      </c>
      <c r="D1279" s="27" t="s">
        <v>105</v>
      </c>
      <c r="G1279" s="28">
        <v>269800</v>
      </c>
      <c r="H1279" s="26">
        <v>0</v>
      </c>
      <c r="I1279" s="26">
        <v>15</v>
      </c>
      <c r="J1279" s="36">
        <v>0</v>
      </c>
      <c r="K1279" s="34">
        <v>2014</v>
      </c>
      <c r="L1279" s="34">
        <v>11</v>
      </c>
      <c r="M1279" s="34">
        <v>11</v>
      </c>
      <c r="N1279" s="26"/>
    </row>
    <row r="1280" spans="1:14">
      <c r="A1280" s="26">
        <v>220205</v>
      </c>
      <c r="B1280" s="27" t="s">
        <v>959</v>
      </c>
      <c r="C1280" s="26" t="s">
        <v>102</v>
      </c>
      <c r="D1280" s="27" t="s">
        <v>106</v>
      </c>
      <c r="G1280" s="28">
        <v>8000</v>
      </c>
      <c r="H1280" s="26">
        <v>0</v>
      </c>
      <c r="I1280" s="26">
        <v>16</v>
      </c>
      <c r="J1280" s="36">
        <v>0</v>
      </c>
      <c r="K1280" s="34">
        <v>2014</v>
      </c>
      <c r="L1280" s="34">
        <v>11</v>
      </c>
      <c r="M1280" s="34">
        <v>11</v>
      </c>
      <c r="N1280" s="26"/>
    </row>
    <row r="1281" spans="1:14">
      <c r="A1281" s="26">
        <v>112302</v>
      </c>
      <c r="B1281" s="27" t="s">
        <v>962</v>
      </c>
      <c r="C1281" s="26" t="s">
        <v>64</v>
      </c>
      <c r="D1281" s="27" t="s">
        <v>66</v>
      </c>
      <c r="G1281" s="28">
        <v>0</v>
      </c>
      <c r="H1281" s="26">
        <v>8000</v>
      </c>
      <c r="I1281" s="26">
        <v>16</v>
      </c>
      <c r="J1281" s="36">
        <v>0</v>
      </c>
      <c r="K1281" s="34">
        <v>2014</v>
      </c>
      <c r="L1281" s="34">
        <v>11</v>
      </c>
      <c r="M1281" s="34">
        <v>11</v>
      </c>
      <c r="N1281" s="26"/>
    </row>
    <row r="1282" spans="1:14">
      <c r="A1282" s="26">
        <v>220202</v>
      </c>
      <c r="B1282" s="27" t="s">
        <v>971</v>
      </c>
      <c r="C1282" s="26" t="s">
        <v>102</v>
      </c>
      <c r="D1282" s="27" t="s">
        <v>103</v>
      </c>
      <c r="G1282" s="28">
        <v>0</v>
      </c>
      <c r="H1282" s="26">
        <v>12000</v>
      </c>
      <c r="I1282" s="26">
        <v>17</v>
      </c>
      <c r="J1282" s="36">
        <v>0</v>
      </c>
      <c r="K1282" s="34">
        <v>2014</v>
      </c>
      <c r="L1282" s="34">
        <v>11</v>
      </c>
      <c r="M1282" s="34">
        <v>11</v>
      </c>
      <c r="N1282" s="26"/>
    </row>
    <row r="1283" spans="1:14">
      <c r="A1283" s="26">
        <v>112211</v>
      </c>
      <c r="B1283" s="27" t="s">
        <v>972</v>
      </c>
      <c r="C1283" s="26" t="s">
        <v>49</v>
      </c>
      <c r="D1283" s="27" t="s">
        <v>60</v>
      </c>
      <c r="G1283" s="28">
        <v>12000</v>
      </c>
      <c r="H1283" s="26">
        <v>0</v>
      </c>
      <c r="I1283" s="26">
        <v>17</v>
      </c>
      <c r="J1283" s="36">
        <v>0</v>
      </c>
      <c r="K1283" s="34">
        <v>2014</v>
      </c>
      <c r="L1283" s="34">
        <v>11</v>
      </c>
      <c r="M1283" s="34">
        <v>11</v>
      </c>
      <c r="N1283" s="26"/>
    </row>
    <row r="1284" spans="1:14">
      <c r="A1284" s="26">
        <v>220205</v>
      </c>
      <c r="B1284" s="27" t="s">
        <v>971</v>
      </c>
      <c r="C1284" s="26" t="s">
        <v>102</v>
      </c>
      <c r="D1284" s="27" t="s">
        <v>106</v>
      </c>
      <c r="G1284" s="28">
        <v>0</v>
      </c>
      <c r="H1284" s="26">
        <v>8000</v>
      </c>
      <c r="I1284" s="26">
        <v>18</v>
      </c>
      <c r="J1284" s="36">
        <v>0</v>
      </c>
      <c r="K1284" s="34">
        <v>2014</v>
      </c>
      <c r="L1284" s="34">
        <v>11</v>
      </c>
      <c r="M1284" s="34">
        <v>11</v>
      </c>
      <c r="N1284" s="26"/>
    </row>
    <row r="1285" spans="1:14">
      <c r="A1285" s="26">
        <v>112212</v>
      </c>
      <c r="B1285" s="27" t="s">
        <v>972</v>
      </c>
      <c r="C1285" s="26" t="s">
        <v>49</v>
      </c>
      <c r="D1285" s="27" t="s">
        <v>61</v>
      </c>
      <c r="G1285" s="28">
        <v>8000</v>
      </c>
      <c r="H1285" s="26">
        <v>0</v>
      </c>
      <c r="I1285" s="26">
        <v>18</v>
      </c>
      <c r="J1285" s="36">
        <v>0</v>
      </c>
      <c r="K1285" s="34">
        <v>2014</v>
      </c>
      <c r="L1285" s="34">
        <v>11</v>
      </c>
      <c r="M1285" s="34">
        <v>11</v>
      </c>
      <c r="N1285" s="26"/>
    </row>
    <row r="1286" spans="1:14">
      <c r="A1286" s="26">
        <v>112310</v>
      </c>
      <c r="B1286" s="27" t="s">
        <v>973</v>
      </c>
      <c r="C1286" s="26" t="s">
        <v>64</v>
      </c>
      <c r="D1286" s="27" t="s">
        <v>69</v>
      </c>
      <c r="G1286" s="28">
        <v>16000</v>
      </c>
      <c r="H1286" s="26">
        <v>0</v>
      </c>
      <c r="I1286" s="26">
        <v>19</v>
      </c>
      <c r="J1286" s="36">
        <v>0</v>
      </c>
      <c r="K1286" s="34">
        <v>2014</v>
      </c>
      <c r="L1286" s="34">
        <v>11</v>
      </c>
      <c r="M1286" s="34">
        <v>11</v>
      </c>
      <c r="N1286" s="26"/>
    </row>
    <row r="1287" spans="1:14">
      <c r="A1287" s="26">
        <v>112310</v>
      </c>
      <c r="B1287" s="27" t="s">
        <v>974</v>
      </c>
      <c r="C1287" s="26" t="s">
        <v>64</v>
      </c>
      <c r="D1287" s="27" t="s">
        <v>69</v>
      </c>
      <c r="G1287" s="28">
        <v>30000</v>
      </c>
      <c r="H1287" s="26">
        <v>0</v>
      </c>
      <c r="I1287" s="26">
        <v>19</v>
      </c>
      <c r="J1287" s="36">
        <v>0</v>
      </c>
      <c r="K1287" s="34">
        <v>2014</v>
      </c>
      <c r="L1287" s="34">
        <v>11</v>
      </c>
      <c r="M1287" s="34">
        <v>11</v>
      </c>
      <c r="N1287" s="26"/>
    </row>
    <row r="1288" spans="1:14">
      <c r="A1288" s="26">
        <v>440106</v>
      </c>
      <c r="B1288" s="27" t="s">
        <v>975</v>
      </c>
      <c r="C1288" s="26" t="s">
        <v>149</v>
      </c>
      <c r="D1288" s="27" t="s">
        <v>354</v>
      </c>
      <c r="G1288" s="28">
        <v>-46000</v>
      </c>
      <c r="H1288" s="26">
        <v>0</v>
      </c>
      <c r="I1288" s="26">
        <v>19</v>
      </c>
      <c r="J1288" s="36">
        <v>0</v>
      </c>
      <c r="K1288" s="34">
        <v>2014</v>
      </c>
      <c r="L1288" s="34">
        <v>11</v>
      </c>
      <c r="M1288" s="34">
        <v>11</v>
      </c>
      <c r="N1288" s="26"/>
    </row>
    <row r="1289" spans="1:14">
      <c r="A1289" s="26">
        <v>440103</v>
      </c>
      <c r="B1289" s="27" t="s">
        <v>976</v>
      </c>
      <c r="C1289" s="26" t="s">
        <v>149</v>
      </c>
      <c r="D1289" s="27" t="s">
        <v>152</v>
      </c>
      <c r="G1289" s="28">
        <v>10060</v>
      </c>
      <c r="H1289" s="26">
        <v>0</v>
      </c>
      <c r="I1289" s="26">
        <v>20</v>
      </c>
      <c r="J1289" s="36">
        <v>0</v>
      </c>
      <c r="K1289" s="34">
        <v>2014</v>
      </c>
      <c r="L1289" s="34">
        <v>11</v>
      </c>
      <c r="M1289" s="34">
        <v>11</v>
      </c>
      <c r="N1289" s="26"/>
    </row>
    <row r="1290" spans="1:14">
      <c r="A1290" s="26">
        <v>440106</v>
      </c>
      <c r="B1290" s="27" t="s">
        <v>976</v>
      </c>
      <c r="C1290" s="26" t="s">
        <v>149</v>
      </c>
      <c r="D1290" s="27" t="s">
        <v>354</v>
      </c>
      <c r="G1290" s="28">
        <v>0</v>
      </c>
      <c r="H1290" s="26">
        <v>10060</v>
      </c>
      <c r="I1290" s="26">
        <v>20</v>
      </c>
      <c r="J1290" s="36">
        <v>0</v>
      </c>
      <c r="K1290" s="34">
        <v>2014</v>
      </c>
      <c r="L1290" s="34">
        <v>11</v>
      </c>
      <c r="M1290" s="34">
        <v>11</v>
      </c>
      <c r="N1290" s="26"/>
    </row>
    <row r="1291" spans="1:14">
      <c r="A1291" s="26">
        <v>440106</v>
      </c>
      <c r="B1291" s="27" t="s">
        <v>977</v>
      </c>
      <c r="C1291" s="26" t="s">
        <v>149</v>
      </c>
      <c r="D1291" s="27" t="s">
        <v>354</v>
      </c>
      <c r="G1291" s="28">
        <v>1294.52</v>
      </c>
      <c r="H1291" s="26">
        <v>0</v>
      </c>
      <c r="I1291" s="26">
        <v>21</v>
      </c>
      <c r="J1291" s="36">
        <v>2</v>
      </c>
      <c r="K1291" s="34">
        <v>2014</v>
      </c>
      <c r="L1291" s="34">
        <v>11</v>
      </c>
      <c r="M1291" s="34">
        <v>30</v>
      </c>
      <c r="N1291" s="26"/>
    </row>
    <row r="1292" spans="1:14">
      <c r="A1292" s="26">
        <v>122105</v>
      </c>
      <c r="B1292" s="27" t="s">
        <v>977</v>
      </c>
      <c r="C1292" s="26" t="s">
        <v>78</v>
      </c>
      <c r="D1292" s="27" t="s">
        <v>83</v>
      </c>
      <c r="G1292" s="28">
        <v>0</v>
      </c>
      <c r="H1292" s="26">
        <v>1294.52</v>
      </c>
      <c r="I1292" s="26">
        <v>21</v>
      </c>
      <c r="J1292" s="36">
        <v>2</v>
      </c>
      <c r="K1292" s="34">
        <v>2014</v>
      </c>
      <c r="L1292" s="34">
        <v>11</v>
      </c>
      <c r="M1292" s="34">
        <v>30</v>
      </c>
      <c r="N1292" s="26"/>
    </row>
    <row r="1293" spans="1:14">
      <c r="A1293" s="26">
        <v>440106</v>
      </c>
      <c r="B1293" s="27" t="s">
        <v>978</v>
      </c>
      <c r="C1293" s="26" t="s">
        <v>149</v>
      </c>
      <c r="D1293" s="27" t="s">
        <v>354</v>
      </c>
      <c r="G1293" s="28">
        <v>-243100</v>
      </c>
      <c r="H1293" s="26">
        <v>0</v>
      </c>
      <c r="I1293" s="26">
        <v>22</v>
      </c>
      <c r="J1293" s="36">
        <v>0</v>
      </c>
      <c r="K1293" s="34">
        <v>2014</v>
      </c>
      <c r="L1293" s="34">
        <v>11</v>
      </c>
      <c r="M1293" s="34">
        <v>11</v>
      </c>
      <c r="N1293" s="26"/>
    </row>
    <row r="1294" spans="1:14">
      <c r="A1294" s="26">
        <v>221101</v>
      </c>
      <c r="B1294" s="27" t="s">
        <v>978</v>
      </c>
      <c r="C1294" s="26" t="s">
        <v>113</v>
      </c>
      <c r="D1294" s="27" t="s">
        <v>114</v>
      </c>
      <c r="G1294" s="28">
        <v>0</v>
      </c>
      <c r="H1294" s="26">
        <v>-220000</v>
      </c>
      <c r="I1294" s="26">
        <v>22</v>
      </c>
      <c r="J1294" s="36">
        <v>0</v>
      </c>
      <c r="K1294" s="34">
        <v>2014</v>
      </c>
      <c r="L1294" s="34">
        <v>11</v>
      </c>
      <c r="M1294" s="34">
        <v>11</v>
      </c>
      <c r="N1294" s="26"/>
    </row>
    <row r="1295" spans="1:14">
      <c r="A1295" s="26">
        <v>221103</v>
      </c>
      <c r="B1295" s="27" t="s">
        <v>979</v>
      </c>
      <c r="C1295" s="26" t="s">
        <v>113</v>
      </c>
      <c r="D1295" s="27" t="s">
        <v>116</v>
      </c>
      <c r="E1295" s="26" t="s">
        <v>199</v>
      </c>
      <c r="F1295" s="26" t="s">
        <v>199</v>
      </c>
      <c r="G1295" s="28">
        <v>0</v>
      </c>
      <c r="H1295" s="26">
        <v>-23100</v>
      </c>
      <c r="I1295" s="26">
        <v>22</v>
      </c>
      <c r="J1295" s="36">
        <v>0</v>
      </c>
      <c r="K1295" s="34">
        <v>2014</v>
      </c>
      <c r="L1295" s="34">
        <v>11</v>
      </c>
      <c r="M1295" s="34">
        <v>11</v>
      </c>
      <c r="N1295" s="26"/>
    </row>
    <row r="1296" spans="1:14">
      <c r="A1296" s="26">
        <v>221103</v>
      </c>
      <c r="B1296" s="27" t="s">
        <v>980</v>
      </c>
      <c r="C1296" s="26" t="s">
        <v>113</v>
      </c>
      <c r="D1296" s="27" t="s">
        <v>116</v>
      </c>
      <c r="G1296" s="28">
        <v>0</v>
      </c>
      <c r="H1296" s="26">
        <v>-12123.65</v>
      </c>
      <c r="I1296" s="26">
        <v>23</v>
      </c>
      <c r="J1296" s="36">
        <v>0</v>
      </c>
      <c r="K1296" s="34">
        <v>2014</v>
      </c>
      <c r="L1296" s="34">
        <v>11</v>
      </c>
      <c r="M1296" s="34">
        <v>30</v>
      </c>
      <c r="N1296" s="26"/>
    </row>
    <row r="1297" spans="1:14">
      <c r="A1297" s="26">
        <v>560209</v>
      </c>
      <c r="B1297" s="27" t="s">
        <v>980</v>
      </c>
      <c r="C1297" s="26" t="s">
        <v>166</v>
      </c>
      <c r="D1297" s="27" t="s">
        <v>175</v>
      </c>
      <c r="G1297" s="28">
        <v>-12123.65</v>
      </c>
      <c r="H1297" s="26">
        <v>0</v>
      </c>
      <c r="I1297" s="26">
        <v>23</v>
      </c>
      <c r="J1297" s="36">
        <v>0</v>
      </c>
      <c r="K1297" s="34">
        <v>2014</v>
      </c>
      <c r="L1297" s="34">
        <v>11</v>
      </c>
      <c r="M1297" s="34">
        <v>30</v>
      </c>
      <c r="N1297" s="26"/>
    </row>
    <row r="1298" spans="1:14">
      <c r="A1298" s="26">
        <v>122104</v>
      </c>
      <c r="B1298" s="27" t="s">
        <v>981</v>
      </c>
      <c r="C1298" s="26" t="s">
        <v>78</v>
      </c>
      <c r="D1298" s="27" t="s">
        <v>82</v>
      </c>
      <c r="G1298" s="28">
        <v>-10000</v>
      </c>
      <c r="H1298" s="26">
        <v>0</v>
      </c>
      <c r="I1298" s="26">
        <v>25</v>
      </c>
      <c r="J1298" s="36">
        <v>0</v>
      </c>
      <c r="K1298" s="34">
        <v>2014</v>
      </c>
      <c r="L1298" s="34">
        <v>11</v>
      </c>
      <c r="M1298" s="34">
        <v>30</v>
      </c>
      <c r="N1298" s="26"/>
    </row>
    <row r="1299" spans="1:14">
      <c r="A1299" s="26">
        <v>122107</v>
      </c>
      <c r="B1299" s="27" t="s">
        <v>982</v>
      </c>
      <c r="C1299" s="26" t="s">
        <v>78</v>
      </c>
      <c r="D1299" s="27" t="s">
        <v>85</v>
      </c>
      <c r="G1299" s="28">
        <v>10000</v>
      </c>
      <c r="H1299" s="26">
        <v>0</v>
      </c>
      <c r="I1299" s="26">
        <v>25</v>
      </c>
      <c r="J1299" s="36">
        <v>0</v>
      </c>
      <c r="K1299" s="34">
        <v>2014</v>
      </c>
      <c r="L1299" s="34">
        <v>11</v>
      </c>
      <c r="M1299" s="34">
        <v>30</v>
      </c>
      <c r="N1299" s="26"/>
    </row>
    <row r="1300" spans="1:14">
      <c r="A1300" s="26">
        <v>122104</v>
      </c>
      <c r="B1300" s="27" t="s">
        <v>983</v>
      </c>
      <c r="C1300" s="26" t="s">
        <v>78</v>
      </c>
      <c r="D1300" s="27" t="s">
        <v>82</v>
      </c>
      <c r="G1300" s="28">
        <v>-100</v>
      </c>
      <c r="H1300" s="26">
        <v>0</v>
      </c>
      <c r="I1300" s="26">
        <v>26</v>
      </c>
      <c r="J1300" s="36">
        <v>0</v>
      </c>
      <c r="K1300" s="34">
        <v>2014</v>
      </c>
      <c r="L1300" s="34">
        <v>11</v>
      </c>
      <c r="M1300" s="34">
        <v>30</v>
      </c>
      <c r="N1300" s="26"/>
    </row>
    <row r="1301" spans="1:14">
      <c r="A1301" s="26">
        <v>122108</v>
      </c>
      <c r="B1301" s="27" t="s">
        <v>984</v>
      </c>
      <c r="C1301" s="26" t="s">
        <v>78</v>
      </c>
      <c r="D1301" s="27" t="s">
        <v>86</v>
      </c>
      <c r="G1301" s="28">
        <v>100</v>
      </c>
      <c r="H1301" s="26">
        <v>0</v>
      </c>
      <c r="I1301" s="26">
        <v>26</v>
      </c>
      <c r="J1301" s="36">
        <v>0</v>
      </c>
      <c r="K1301" s="34">
        <v>2014</v>
      </c>
      <c r="L1301" s="34">
        <v>11</v>
      </c>
      <c r="M1301" s="34">
        <v>30</v>
      </c>
      <c r="N1301" s="26"/>
    </row>
    <row r="1302" spans="1:14">
      <c r="A1302" s="26">
        <v>224101</v>
      </c>
      <c r="B1302" s="27" t="s">
        <v>985</v>
      </c>
      <c r="C1302" s="26" t="s">
        <v>140</v>
      </c>
      <c r="D1302" s="27" t="s">
        <v>12</v>
      </c>
      <c r="G1302" s="28">
        <v>0</v>
      </c>
      <c r="H1302" s="26">
        <v>721492.66</v>
      </c>
      <c r="I1302" s="26">
        <v>27</v>
      </c>
      <c r="J1302" s="36">
        <v>0</v>
      </c>
      <c r="K1302" s="34">
        <v>2014</v>
      </c>
      <c r="L1302" s="34">
        <v>11</v>
      </c>
      <c r="M1302" s="34">
        <v>30</v>
      </c>
      <c r="N1302" s="26"/>
    </row>
    <row r="1303" spans="1:14">
      <c r="A1303" s="26">
        <v>224105</v>
      </c>
      <c r="B1303" s="27" t="s">
        <v>985</v>
      </c>
      <c r="C1303" s="26" t="s">
        <v>140</v>
      </c>
      <c r="D1303" s="27" t="s">
        <v>143</v>
      </c>
      <c r="G1303" s="28">
        <v>83186.4</v>
      </c>
      <c r="H1303" s="26">
        <v>0</v>
      </c>
      <c r="I1303" s="26">
        <v>27</v>
      </c>
      <c r="J1303" s="36">
        <v>0</v>
      </c>
      <c r="K1303" s="34">
        <v>2014</v>
      </c>
      <c r="L1303" s="34">
        <v>11</v>
      </c>
      <c r="M1303" s="34">
        <v>30</v>
      </c>
      <c r="N1303" s="26"/>
    </row>
    <row r="1304" spans="1:14">
      <c r="A1304" s="26">
        <v>122109</v>
      </c>
      <c r="B1304" s="27" t="s">
        <v>986</v>
      </c>
      <c r="C1304" s="26" t="s">
        <v>78</v>
      </c>
      <c r="D1304" s="27" t="s">
        <v>12</v>
      </c>
      <c r="G1304" s="28">
        <v>638306.26</v>
      </c>
      <c r="H1304" s="26">
        <v>0</v>
      </c>
      <c r="I1304" s="26">
        <v>27</v>
      </c>
      <c r="J1304" s="36">
        <v>0</v>
      </c>
      <c r="K1304" s="34">
        <v>2014</v>
      </c>
      <c r="L1304" s="34">
        <v>11</v>
      </c>
      <c r="M1304" s="34">
        <v>30</v>
      </c>
      <c r="N1304" s="26"/>
    </row>
    <row r="1305" spans="1:14">
      <c r="A1305" s="26">
        <v>112310</v>
      </c>
      <c r="B1305" s="27" t="s">
        <v>987</v>
      </c>
      <c r="C1305" s="26" t="s">
        <v>64</v>
      </c>
      <c r="D1305" s="27" t="s">
        <v>69</v>
      </c>
      <c r="G1305" s="28">
        <v>188500</v>
      </c>
      <c r="H1305" s="26">
        <v>0</v>
      </c>
      <c r="I1305" s="26">
        <v>28</v>
      </c>
      <c r="J1305" s="36">
        <v>0</v>
      </c>
      <c r="K1305" s="34">
        <v>2014</v>
      </c>
      <c r="L1305" s="34">
        <v>11</v>
      </c>
      <c r="M1305" s="34">
        <v>30</v>
      </c>
      <c r="N1305" s="26"/>
    </row>
    <row r="1306" spans="1:14">
      <c r="A1306" s="26">
        <v>221101</v>
      </c>
      <c r="B1306" s="27" t="s">
        <v>988</v>
      </c>
      <c r="C1306" s="26" t="s">
        <v>113</v>
      </c>
      <c r="D1306" s="27" t="s">
        <v>114</v>
      </c>
      <c r="G1306" s="28">
        <v>0</v>
      </c>
      <c r="H1306" s="26">
        <v>188500</v>
      </c>
      <c r="I1306" s="26">
        <v>28</v>
      </c>
      <c r="J1306" s="36">
        <v>0</v>
      </c>
      <c r="K1306" s="34">
        <v>2014</v>
      </c>
      <c r="L1306" s="34">
        <v>11</v>
      </c>
      <c r="M1306" s="34">
        <v>30</v>
      </c>
      <c r="N1306" s="26"/>
    </row>
    <row r="1307" spans="1:14">
      <c r="A1307" s="26">
        <v>221101</v>
      </c>
      <c r="B1307" s="27" t="s">
        <v>989</v>
      </c>
      <c r="C1307" s="26" t="s">
        <v>113</v>
      </c>
      <c r="D1307" s="27" t="s">
        <v>114</v>
      </c>
      <c r="G1307" s="28">
        <v>208420</v>
      </c>
      <c r="H1307" s="26">
        <v>0</v>
      </c>
      <c r="I1307" s="26">
        <v>29</v>
      </c>
      <c r="J1307" s="36">
        <v>0</v>
      </c>
      <c r="K1307" s="34">
        <v>2014</v>
      </c>
      <c r="L1307" s="34">
        <v>11</v>
      </c>
      <c r="M1307" s="34">
        <v>30</v>
      </c>
      <c r="N1307" s="26"/>
    </row>
    <row r="1308" spans="1:14">
      <c r="A1308" s="26">
        <v>560201</v>
      </c>
      <c r="B1308" s="27" t="s">
        <v>989</v>
      </c>
      <c r="C1308" s="26" t="s">
        <v>166</v>
      </c>
      <c r="D1308" s="27" t="s">
        <v>167</v>
      </c>
      <c r="G1308" s="28">
        <v>-208420</v>
      </c>
      <c r="H1308" s="26">
        <v>0</v>
      </c>
      <c r="I1308" s="26">
        <v>29</v>
      </c>
      <c r="J1308" s="36">
        <v>0</v>
      </c>
      <c r="K1308" s="34">
        <v>2014</v>
      </c>
      <c r="L1308" s="34">
        <v>11</v>
      </c>
      <c r="M1308" s="34">
        <v>30</v>
      </c>
      <c r="N1308" s="26"/>
    </row>
    <row r="1309" spans="1:14">
      <c r="A1309" s="26">
        <v>221101</v>
      </c>
      <c r="B1309" s="27" t="s">
        <v>990</v>
      </c>
      <c r="C1309" s="26" t="s">
        <v>113</v>
      </c>
      <c r="D1309" s="27" t="s">
        <v>114</v>
      </c>
      <c r="G1309" s="28">
        <v>0</v>
      </c>
      <c r="H1309" s="26">
        <v>20420</v>
      </c>
      <c r="I1309" s="26">
        <v>30</v>
      </c>
      <c r="J1309" s="36">
        <v>1</v>
      </c>
      <c r="K1309" s="34">
        <v>2014</v>
      </c>
      <c r="L1309" s="34">
        <v>11</v>
      </c>
      <c r="M1309" s="34">
        <v>30</v>
      </c>
      <c r="N1309" s="26"/>
    </row>
    <row r="1310" spans="1:14">
      <c r="A1310" s="26">
        <v>560201</v>
      </c>
      <c r="B1310" s="27" t="s">
        <v>990</v>
      </c>
      <c r="C1310" s="26" t="s">
        <v>166</v>
      </c>
      <c r="D1310" s="27" t="s">
        <v>167</v>
      </c>
      <c r="G1310" s="28">
        <v>20420</v>
      </c>
      <c r="H1310" s="26">
        <v>0</v>
      </c>
      <c r="I1310" s="26">
        <v>30</v>
      </c>
      <c r="J1310" s="36">
        <v>1</v>
      </c>
      <c r="K1310" s="34">
        <v>2014</v>
      </c>
      <c r="L1310" s="34">
        <v>11</v>
      </c>
      <c r="M1310" s="34">
        <v>30</v>
      </c>
      <c r="N1310" s="26"/>
    </row>
    <row r="1311" spans="1:14">
      <c r="A1311" s="26">
        <v>221105</v>
      </c>
      <c r="B1311" s="27" t="s">
        <v>991</v>
      </c>
      <c r="C1311" s="26" t="s">
        <v>113</v>
      </c>
      <c r="D1311" s="27" t="s">
        <v>992</v>
      </c>
      <c r="G1311" s="28">
        <v>30000</v>
      </c>
      <c r="H1311" s="26">
        <v>0</v>
      </c>
      <c r="I1311" s="26">
        <v>31</v>
      </c>
      <c r="J1311" s="36">
        <v>1</v>
      </c>
      <c r="K1311" s="34">
        <v>2014</v>
      </c>
      <c r="L1311" s="34">
        <v>11</v>
      </c>
      <c r="M1311" s="34">
        <v>30</v>
      </c>
      <c r="N1311" s="26"/>
    </row>
    <row r="1312" spans="1:14">
      <c r="A1312" s="37">
        <v>221107</v>
      </c>
      <c r="B1312" s="38" t="s">
        <v>991</v>
      </c>
      <c r="C1312" s="37" t="s">
        <v>113</v>
      </c>
      <c r="D1312" s="38" t="s">
        <v>120</v>
      </c>
      <c r="E1312" s="37"/>
      <c r="F1312" s="37"/>
      <c r="G1312" s="39">
        <v>0</v>
      </c>
      <c r="H1312" s="37">
        <v>30000</v>
      </c>
      <c r="I1312" s="37">
        <v>31</v>
      </c>
      <c r="J1312" s="284">
        <v>1</v>
      </c>
      <c r="K1312" s="40">
        <v>2014</v>
      </c>
      <c r="L1312" s="40">
        <v>11</v>
      </c>
      <c r="M1312" s="40">
        <v>30</v>
      </c>
      <c r="N1312" s="37"/>
    </row>
    <row r="1313" spans="1:14">
      <c r="A1313" s="26">
        <v>112312</v>
      </c>
      <c r="B1313" s="27" t="s">
        <v>993</v>
      </c>
      <c r="C1313" s="26" t="s">
        <v>64</v>
      </c>
      <c r="D1313" s="27" t="s">
        <v>71</v>
      </c>
      <c r="G1313" s="28">
        <v>0</v>
      </c>
      <c r="H1313" s="26">
        <v>18000</v>
      </c>
      <c r="I1313" s="26">
        <v>32</v>
      </c>
      <c r="J1313" s="36">
        <v>1</v>
      </c>
      <c r="K1313" s="34">
        <v>2014</v>
      </c>
      <c r="L1313" s="34">
        <v>11</v>
      </c>
      <c r="M1313" s="34">
        <v>30</v>
      </c>
      <c r="N1313" s="26"/>
    </row>
    <row r="1314" spans="1:14">
      <c r="A1314" s="37">
        <v>221107</v>
      </c>
      <c r="B1314" s="38" t="s">
        <v>959</v>
      </c>
      <c r="C1314" s="37" t="s">
        <v>113</v>
      </c>
      <c r="D1314" s="38" t="s">
        <v>120</v>
      </c>
      <c r="E1314" s="37"/>
      <c r="F1314" s="37"/>
      <c r="G1314" s="39">
        <v>18000</v>
      </c>
      <c r="H1314" s="37">
        <v>0</v>
      </c>
      <c r="I1314" s="37">
        <v>32</v>
      </c>
      <c r="J1314" s="284">
        <v>1</v>
      </c>
      <c r="K1314" s="40">
        <v>2014</v>
      </c>
      <c r="L1314" s="40">
        <v>11</v>
      </c>
      <c r="M1314" s="40">
        <v>30</v>
      </c>
      <c r="N1314" s="37"/>
    </row>
    <row r="1315" spans="1:14">
      <c r="A1315" s="26">
        <v>221108</v>
      </c>
      <c r="B1315" s="27" t="s">
        <v>994</v>
      </c>
      <c r="C1315" s="26" t="s">
        <v>113</v>
      </c>
      <c r="D1315" s="27" t="s">
        <v>121</v>
      </c>
      <c r="G1315" s="28">
        <v>0</v>
      </c>
      <c r="H1315" s="26">
        <v>14000</v>
      </c>
      <c r="I1315" s="26">
        <v>33</v>
      </c>
      <c r="J1315" s="36">
        <v>1</v>
      </c>
      <c r="K1315" s="34">
        <v>2014</v>
      </c>
      <c r="L1315" s="34">
        <v>11</v>
      </c>
      <c r="M1315" s="34">
        <v>30</v>
      </c>
      <c r="N1315" s="26"/>
    </row>
    <row r="1316" spans="1:14">
      <c r="A1316" s="26">
        <v>221105</v>
      </c>
      <c r="B1316" s="27" t="s">
        <v>994</v>
      </c>
      <c r="C1316" s="26" t="s">
        <v>113</v>
      </c>
      <c r="D1316" s="27" t="s">
        <v>118</v>
      </c>
      <c r="G1316" s="28">
        <v>14000</v>
      </c>
      <c r="H1316" s="26">
        <v>0</v>
      </c>
      <c r="I1316" s="26">
        <v>33</v>
      </c>
      <c r="J1316" s="36">
        <v>1</v>
      </c>
      <c r="K1316" s="34">
        <v>2014</v>
      </c>
      <c r="L1316" s="34">
        <v>11</v>
      </c>
      <c r="M1316" s="34">
        <v>30</v>
      </c>
      <c r="N1316" s="26"/>
    </row>
    <row r="1317" spans="1:14">
      <c r="A1317" s="26">
        <v>440108</v>
      </c>
      <c r="B1317" s="27" t="s">
        <v>994</v>
      </c>
      <c r="C1317" s="26" t="s">
        <v>149</v>
      </c>
      <c r="D1317" s="27" t="s">
        <v>121</v>
      </c>
      <c r="G1317" s="28">
        <v>14000</v>
      </c>
      <c r="H1317" s="26">
        <v>0</v>
      </c>
      <c r="I1317" s="26">
        <v>33</v>
      </c>
      <c r="J1317" s="36">
        <v>1</v>
      </c>
      <c r="K1317" s="34">
        <v>2014</v>
      </c>
      <c r="L1317" s="34">
        <v>11</v>
      </c>
      <c r="M1317" s="34">
        <v>30</v>
      </c>
      <c r="N1317" s="26"/>
    </row>
    <row r="1318" spans="1:14">
      <c r="A1318" s="37">
        <v>440108</v>
      </c>
      <c r="B1318" s="38" t="s">
        <v>994</v>
      </c>
      <c r="C1318" s="37" t="s">
        <v>149</v>
      </c>
      <c r="D1318" s="38" t="s">
        <v>121</v>
      </c>
      <c r="E1318" s="37"/>
      <c r="F1318" s="37"/>
      <c r="G1318" s="39">
        <v>0</v>
      </c>
      <c r="H1318" s="37">
        <v>14000</v>
      </c>
      <c r="I1318" s="37">
        <v>33</v>
      </c>
      <c r="J1318" s="284">
        <v>1</v>
      </c>
      <c r="K1318" s="40">
        <v>2014</v>
      </c>
      <c r="L1318" s="40">
        <v>11</v>
      </c>
      <c r="M1318" s="40">
        <v>30</v>
      </c>
      <c r="N1318" s="37"/>
    </row>
    <row r="1319" spans="1:14">
      <c r="A1319" s="26">
        <v>221108</v>
      </c>
      <c r="B1319" s="27" t="s">
        <v>959</v>
      </c>
      <c r="C1319" s="26" t="s">
        <v>113</v>
      </c>
      <c r="D1319" s="27" t="s">
        <v>121</v>
      </c>
      <c r="G1319" s="28">
        <v>4000</v>
      </c>
      <c r="H1319" s="26">
        <v>0</v>
      </c>
      <c r="I1319" s="26">
        <v>34</v>
      </c>
      <c r="J1319" s="36">
        <v>1</v>
      </c>
      <c r="K1319" s="34">
        <v>2014</v>
      </c>
      <c r="L1319" s="34">
        <v>11</v>
      </c>
      <c r="M1319" s="34">
        <v>30</v>
      </c>
      <c r="N1319" s="26"/>
    </row>
    <row r="1320" spans="1:14">
      <c r="A1320" s="37">
        <v>112313</v>
      </c>
      <c r="B1320" s="38" t="s">
        <v>962</v>
      </c>
      <c r="C1320" s="37" t="s">
        <v>64</v>
      </c>
      <c r="D1320" s="38" t="s">
        <v>72</v>
      </c>
      <c r="E1320" s="37"/>
      <c r="F1320" s="37"/>
      <c r="G1320" s="39">
        <v>0</v>
      </c>
      <c r="H1320" s="37">
        <v>4000</v>
      </c>
      <c r="I1320" s="37">
        <v>34</v>
      </c>
      <c r="J1320" s="284">
        <v>1</v>
      </c>
      <c r="K1320" s="40">
        <v>2014</v>
      </c>
      <c r="L1320" s="40">
        <v>11</v>
      </c>
      <c r="M1320" s="40">
        <v>30</v>
      </c>
      <c r="N1320" s="37"/>
    </row>
    <row r="1321" spans="1:14">
      <c r="A1321" s="26">
        <v>112313</v>
      </c>
      <c r="B1321" s="27" t="s">
        <v>995</v>
      </c>
      <c r="C1321" s="26" t="s">
        <v>64</v>
      </c>
      <c r="D1321" s="27" t="s">
        <v>72</v>
      </c>
      <c r="G1321" s="28">
        <v>0</v>
      </c>
      <c r="H1321" s="26">
        <v>11600</v>
      </c>
      <c r="I1321" s="26">
        <v>35</v>
      </c>
      <c r="J1321" s="36">
        <v>0</v>
      </c>
      <c r="K1321" s="34">
        <v>2014</v>
      </c>
      <c r="L1321" s="34">
        <v>11</v>
      </c>
      <c r="M1321" s="34">
        <v>30</v>
      </c>
      <c r="N1321" s="26"/>
    </row>
    <row r="1322" spans="1:14">
      <c r="A1322" s="37">
        <v>221110</v>
      </c>
      <c r="B1322" s="38" t="s">
        <v>995</v>
      </c>
      <c r="C1322" s="37" t="s">
        <v>113</v>
      </c>
      <c r="D1322" s="38" t="s">
        <v>123</v>
      </c>
      <c r="E1322" s="37"/>
      <c r="F1322" s="37"/>
      <c r="G1322" s="39">
        <v>11600</v>
      </c>
      <c r="H1322" s="37">
        <v>0</v>
      </c>
      <c r="I1322" s="37">
        <v>35</v>
      </c>
      <c r="J1322" s="284">
        <v>0</v>
      </c>
      <c r="K1322" s="40">
        <v>2014</v>
      </c>
      <c r="L1322" s="40">
        <v>11</v>
      </c>
      <c r="M1322" s="40">
        <v>30</v>
      </c>
      <c r="N1322" s="37"/>
    </row>
    <row r="1323" spans="1:14">
      <c r="A1323" s="26">
        <v>221109</v>
      </c>
      <c r="B1323" s="27" t="s">
        <v>959</v>
      </c>
      <c r="C1323" s="26" t="s">
        <v>113</v>
      </c>
      <c r="D1323" s="27" t="s">
        <v>122</v>
      </c>
      <c r="G1323" s="28">
        <v>0</v>
      </c>
      <c r="H1323" s="26">
        <v>19350</v>
      </c>
      <c r="I1323" s="26">
        <v>36</v>
      </c>
      <c r="J1323" s="36">
        <v>1</v>
      </c>
      <c r="K1323" s="34">
        <v>2014</v>
      </c>
      <c r="L1323" s="34">
        <v>11</v>
      </c>
      <c r="M1323" s="34">
        <v>30</v>
      </c>
      <c r="N1323" s="26"/>
    </row>
    <row r="1324" spans="1:14">
      <c r="A1324" s="37">
        <v>112311</v>
      </c>
      <c r="B1324" s="38" t="s">
        <v>996</v>
      </c>
      <c r="C1324" s="37" t="s">
        <v>64</v>
      </c>
      <c r="D1324" s="38" t="s">
        <v>70</v>
      </c>
      <c r="E1324" s="37"/>
      <c r="F1324" s="37"/>
      <c r="G1324" s="39">
        <v>19350</v>
      </c>
      <c r="H1324" s="37">
        <v>0</v>
      </c>
      <c r="I1324" s="37">
        <v>36</v>
      </c>
      <c r="J1324" s="284">
        <v>1</v>
      </c>
      <c r="K1324" s="40">
        <v>2014</v>
      </c>
      <c r="L1324" s="40">
        <v>11</v>
      </c>
      <c r="M1324" s="40">
        <v>30</v>
      </c>
      <c r="N1324" s="37"/>
    </row>
    <row r="1325" spans="1:14">
      <c r="A1325" s="26">
        <v>440106</v>
      </c>
      <c r="B1325" s="27" t="s">
        <v>997</v>
      </c>
      <c r="C1325" s="26" t="s">
        <v>149</v>
      </c>
      <c r="D1325" s="27" t="s">
        <v>155</v>
      </c>
      <c r="G1325" s="28">
        <v>70000</v>
      </c>
      <c r="H1325" s="26">
        <v>0</v>
      </c>
      <c r="I1325" s="26">
        <v>37</v>
      </c>
      <c r="J1325" s="36">
        <v>1</v>
      </c>
      <c r="K1325" s="34">
        <v>2014</v>
      </c>
      <c r="L1325" s="34">
        <v>11</v>
      </c>
      <c r="M1325" s="34">
        <v>30</v>
      </c>
      <c r="N1325" s="26"/>
    </row>
    <row r="1326" spans="1:14">
      <c r="A1326" s="26">
        <v>221105</v>
      </c>
      <c r="B1326" s="27" t="s">
        <v>997</v>
      </c>
      <c r="C1326" s="26" t="s">
        <v>113</v>
      </c>
      <c r="D1326" s="27" t="s">
        <v>992</v>
      </c>
      <c r="G1326" s="28">
        <v>0</v>
      </c>
      <c r="H1326" s="26">
        <v>70000</v>
      </c>
      <c r="I1326" s="26">
        <v>37</v>
      </c>
      <c r="J1326" s="36">
        <v>1</v>
      </c>
      <c r="K1326" s="34">
        <v>2014</v>
      </c>
      <c r="L1326" s="34">
        <v>11</v>
      </c>
      <c r="M1326" s="34">
        <v>30</v>
      </c>
      <c r="N1326" s="26"/>
    </row>
    <row r="1327" spans="1:14">
      <c r="A1327" s="26">
        <v>440105</v>
      </c>
      <c r="B1327" s="27" t="s">
        <v>998</v>
      </c>
      <c r="C1327" s="26" t="s">
        <v>149</v>
      </c>
      <c r="D1327" s="27" t="s">
        <v>154</v>
      </c>
      <c r="G1327" s="28">
        <v>17500</v>
      </c>
      <c r="H1327" s="26">
        <v>0</v>
      </c>
      <c r="I1327" s="26">
        <v>38</v>
      </c>
      <c r="J1327" s="36">
        <v>1</v>
      </c>
      <c r="K1327" s="34">
        <v>2014</v>
      </c>
      <c r="L1327" s="34">
        <v>11</v>
      </c>
      <c r="M1327" s="34">
        <v>30</v>
      </c>
      <c r="N1327" s="26"/>
    </row>
    <row r="1328" spans="1:14">
      <c r="A1328" s="37">
        <v>440106</v>
      </c>
      <c r="B1328" s="27" t="s">
        <v>998</v>
      </c>
      <c r="C1328" s="37" t="s">
        <v>149</v>
      </c>
      <c r="D1328" s="38" t="s">
        <v>155</v>
      </c>
      <c r="E1328" s="37"/>
      <c r="F1328" s="37"/>
      <c r="G1328" s="39">
        <v>0</v>
      </c>
      <c r="H1328" s="37">
        <v>17500</v>
      </c>
      <c r="I1328" s="37">
        <v>38</v>
      </c>
      <c r="J1328" s="284">
        <v>1</v>
      </c>
      <c r="K1328" s="40">
        <v>2014</v>
      </c>
      <c r="L1328" s="40">
        <v>11</v>
      </c>
      <c r="M1328" s="40">
        <v>30</v>
      </c>
      <c r="N1328" s="37"/>
    </row>
    <row r="1329" spans="1:14">
      <c r="A1329" s="26">
        <v>440105</v>
      </c>
      <c r="B1329" s="27" t="s">
        <v>999</v>
      </c>
      <c r="C1329" s="26" t="s">
        <v>149</v>
      </c>
      <c r="D1329" s="27" t="s">
        <v>154</v>
      </c>
      <c r="G1329" s="28">
        <v>0</v>
      </c>
      <c r="H1329" s="26">
        <v>21523.4</v>
      </c>
      <c r="I1329" s="26">
        <v>39</v>
      </c>
      <c r="J1329" s="36">
        <v>0</v>
      </c>
      <c r="K1329" s="34">
        <v>2014</v>
      </c>
      <c r="L1329" s="34">
        <v>11</v>
      </c>
      <c r="M1329" s="34">
        <v>30</v>
      </c>
      <c r="N1329" s="26"/>
    </row>
    <row r="1330" spans="1:14">
      <c r="A1330" s="37">
        <v>540103</v>
      </c>
      <c r="B1330" s="38" t="s">
        <v>1000</v>
      </c>
      <c r="C1330" s="37" t="s">
        <v>161</v>
      </c>
      <c r="D1330" s="38" t="s">
        <v>164</v>
      </c>
      <c r="E1330" s="37"/>
      <c r="F1330" s="37"/>
      <c r="G1330" s="39">
        <v>21523.4</v>
      </c>
      <c r="H1330" s="37">
        <v>0</v>
      </c>
      <c r="I1330" s="37">
        <v>39</v>
      </c>
      <c r="J1330" s="284">
        <v>0</v>
      </c>
      <c r="K1330" s="40">
        <v>2014</v>
      </c>
      <c r="L1330" s="40">
        <v>11</v>
      </c>
      <c r="M1330" s="40">
        <v>30</v>
      </c>
      <c r="N1330" s="37"/>
    </row>
    <row r="1331" spans="1:14">
      <c r="A1331" s="26">
        <v>221106</v>
      </c>
      <c r="B1331" s="27" t="s">
        <v>959</v>
      </c>
      <c r="C1331" s="26" t="s">
        <v>113</v>
      </c>
      <c r="D1331" s="27" t="s">
        <v>119</v>
      </c>
      <c r="G1331" s="28">
        <v>6000</v>
      </c>
      <c r="H1331" s="26">
        <v>0</v>
      </c>
      <c r="I1331" s="26">
        <v>40</v>
      </c>
      <c r="J1331" s="36">
        <v>0</v>
      </c>
      <c r="K1331" s="34">
        <v>2014</v>
      </c>
      <c r="L1331" s="34">
        <v>11</v>
      </c>
      <c r="M1331" s="34">
        <v>30</v>
      </c>
      <c r="N1331" s="26"/>
    </row>
    <row r="1332" spans="1:14">
      <c r="A1332" s="37">
        <v>112316</v>
      </c>
      <c r="B1332" s="38" t="s">
        <v>996</v>
      </c>
      <c r="C1332" s="37" t="s">
        <v>64</v>
      </c>
      <c r="D1332" s="38" t="s">
        <v>75</v>
      </c>
      <c r="E1332" s="37"/>
      <c r="F1332" s="37"/>
      <c r="G1332" s="39">
        <v>0</v>
      </c>
      <c r="H1332" s="37">
        <v>6000</v>
      </c>
      <c r="I1332" s="37">
        <v>40</v>
      </c>
      <c r="J1332" s="284">
        <v>0</v>
      </c>
      <c r="K1332" s="40">
        <v>2014</v>
      </c>
      <c r="L1332" s="40">
        <v>11</v>
      </c>
      <c r="M1332" s="40">
        <v>30</v>
      </c>
      <c r="N1332" s="37"/>
    </row>
    <row r="1333" spans="1:14">
      <c r="A1333" s="26">
        <v>221106</v>
      </c>
      <c r="B1333" s="27" t="s">
        <v>1001</v>
      </c>
      <c r="C1333" s="26" t="s">
        <v>113</v>
      </c>
      <c r="D1333" s="27" t="s">
        <v>119</v>
      </c>
      <c r="G1333" s="28">
        <v>6000</v>
      </c>
      <c r="H1333" s="26">
        <v>0</v>
      </c>
      <c r="I1333" s="26">
        <v>41</v>
      </c>
      <c r="J1333" s="36">
        <v>3</v>
      </c>
      <c r="K1333" s="34">
        <v>2014</v>
      </c>
      <c r="L1333" s="34">
        <v>11</v>
      </c>
      <c r="M1333" s="34">
        <v>30</v>
      </c>
      <c r="N1333" s="26"/>
    </row>
    <row r="1334" spans="1:14">
      <c r="A1334" s="26">
        <v>122109</v>
      </c>
      <c r="B1334" s="27" t="s">
        <v>1002</v>
      </c>
      <c r="C1334" s="26" t="s">
        <v>78</v>
      </c>
      <c r="D1334" s="27" t="s">
        <v>12</v>
      </c>
      <c r="G1334" s="28">
        <v>0</v>
      </c>
      <c r="H1334" s="26">
        <v>11500</v>
      </c>
      <c r="I1334" s="26">
        <v>41</v>
      </c>
      <c r="J1334" s="36">
        <v>3</v>
      </c>
      <c r="K1334" s="34">
        <v>2014</v>
      </c>
      <c r="L1334" s="34">
        <v>11</v>
      </c>
      <c r="M1334" s="34">
        <v>30</v>
      </c>
      <c r="N1334" s="26"/>
    </row>
    <row r="1335" spans="1:14">
      <c r="A1335" s="37">
        <v>221106</v>
      </c>
      <c r="B1335" s="38" t="s">
        <v>1003</v>
      </c>
      <c r="C1335" s="37" t="s">
        <v>113</v>
      </c>
      <c r="D1335" s="38" t="s">
        <v>119</v>
      </c>
      <c r="E1335" s="37"/>
      <c r="F1335" s="37"/>
      <c r="G1335" s="39">
        <v>5500</v>
      </c>
      <c r="H1335" s="37">
        <v>0</v>
      </c>
      <c r="I1335" s="37">
        <v>41</v>
      </c>
      <c r="J1335" s="284">
        <v>3</v>
      </c>
      <c r="K1335" s="40">
        <v>2014</v>
      </c>
      <c r="L1335" s="40">
        <v>11</v>
      </c>
      <c r="M1335" s="40">
        <v>30</v>
      </c>
      <c r="N1335" s="37"/>
    </row>
    <row r="1336" spans="1:14">
      <c r="A1336" s="26">
        <v>221105</v>
      </c>
      <c r="B1336" s="27" t="s">
        <v>1004</v>
      </c>
      <c r="C1336" s="26" t="s">
        <v>113</v>
      </c>
      <c r="D1336" s="27" t="s">
        <v>992</v>
      </c>
      <c r="G1336" s="28">
        <v>17500</v>
      </c>
      <c r="H1336" s="26">
        <v>0</v>
      </c>
      <c r="I1336" s="26">
        <v>42</v>
      </c>
      <c r="J1336" s="36">
        <v>0</v>
      </c>
      <c r="K1336" s="34">
        <v>2014</v>
      </c>
      <c r="L1336" s="34">
        <v>11</v>
      </c>
      <c r="M1336" s="34">
        <v>30</v>
      </c>
      <c r="N1336" s="26"/>
    </row>
    <row r="1337" spans="1:14">
      <c r="A1337" s="37">
        <v>221106</v>
      </c>
      <c r="B1337" s="38" t="s">
        <v>1005</v>
      </c>
      <c r="C1337" s="37" t="s">
        <v>113</v>
      </c>
      <c r="D1337" s="38" t="s">
        <v>119</v>
      </c>
      <c r="E1337" s="37"/>
      <c r="F1337" s="37"/>
      <c r="G1337" s="39">
        <v>0</v>
      </c>
      <c r="H1337" s="37">
        <v>17500</v>
      </c>
      <c r="I1337" s="37">
        <v>42</v>
      </c>
      <c r="J1337" s="284">
        <v>0</v>
      </c>
      <c r="K1337" s="40">
        <v>2014</v>
      </c>
      <c r="L1337" s="40">
        <v>11</v>
      </c>
      <c r="M1337" s="40">
        <v>30</v>
      </c>
      <c r="N1337" s="37"/>
    </row>
    <row r="1338" spans="1:14">
      <c r="A1338" s="26">
        <v>221111</v>
      </c>
      <c r="B1338" s="27" t="s">
        <v>959</v>
      </c>
      <c r="C1338" s="26" t="s">
        <v>113</v>
      </c>
      <c r="D1338" s="27" t="s">
        <v>124</v>
      </c>
      <c r="G1338" s="28">
        <v>3650</v>
      </c>
      <c r="H1338" s="26">
        <v>0</v>
      </c>
      <c r="I1338" s="26">
        <v>43</v>
      </c>
      <c r="J1338" s="36">
        <v>0</v>
      </c>
      <c r="K1338" s="34">
        <v>2014</v>
      </c>
      <c r="L1338" s="34">
        <v>11</v>
      </c>
      <c r="M1338" s="34">
        <v>30</v>
      </c>
      <c r="N1338" s="26"/>
    </row>
    <row r="1339" spans="1:14">
      <c r="A1339" s="37">
        <v>112317</v>
      </c>
      <c r="B1339" s="38" t="s">
        <v>1006</v>
      </c>
      <c r="C1339" s="37" t="s">
        <v>64</v>
      </c>
      <c r="D1339" s="38" t="s">
        <v>76</v>
      </c>
      <c r="E1339" s="37"/>
      <c r="F1339" s="37"/>
      <c r="G1339" s="39">
        <v>0</v>
      </c>
      <c r="H1339" s="37">
        <v>3650</v>
      </c>
      <c r="I1339" s="37">
        <v>43</v>
      </c>
      <c r="J1339" s="284">
        <v>0</v>
      </c>
      <c r="K1339" s="40">
        <v>2014</v>
      </c>
      <c r="L1339" s="40">
        <v>11</v>
      </c>
      <c r="M1339" s="40">
        <v>30</v>
      </c>
      <c r="N1339" s="37"/>
    </row>
    <row r="1340" spans="1:14">
      <c r="A1340" s="26">
        <v>500101</v>
      </c>
      <c r="B1340" s="27" t="s">
        <v>1007</v>
      </c>
      <c r="C1340" s="26" t="s">
        <v>157</v>
      </c>
      <c r="D1340" s="27" t="s">
        <v>158</v>
      </c>
      <c r="G1340" s="28">
        <v>0</v>
      </c>
      <c r="H1340" s="26">
        <v>352820.53</v>
      </c>
      <c r="I1340" s="26">
        <v>44</v>
      </c>
      <c r="J1340" s="36">
        <v>1</v>
      </c>
      <c r="K1340" s="34">
        <v>2014</v>
      </c>
      <c r="L1340" s="34">
        <v>11</v>
      </c>
      <c r="M1340" s="34">
        <v>30</v>
      </c>
      <c r="N1340" s="26"/>
    </row>
    <row r="1341" spans="1:14">
      <c r="A1341" s="26">
        <v>222125</v>
      </c>
      <c r="B1341" s="27" t="s">
        <v>1008</v>
      </c>
      <c r="C1341" s="26" t="s">
        <v>126</v>
      </c>
      <c r="D1341" s="27" t="s">
        <v>136</v>
      </c>
      <c r="G1341" s="28">
        <v>0</v>
      </c>
      <c r="H1341" s="26">
        <v>59979.47</v>
      </c>
      <c r="I1341" s="26">
        <v>44</v>
      </c>
      <c r="J1341" s="36">
        <v>1</v>
      </c>
      <c r="K1341" s="34">
        <v>2014</v>
      </c>
      <c r="L1341" s="34">
        <v>11</v>
      </c>
      <c r="M1341" s="34">
        <v>30</v>
      </c>
      <c r="N1341" s="26"/>
    </row>
    <row r="1342" spans="1:14">
      <c r="A1342" s="37">
        <v>112213</v>
      </c>
      <c r="B1342" s="27" t="s">
        <v>1009</v>
      </c>
      <c r="C1342" s="37" t="s">
        <v>49</v>
      </c>
      <c r="D1342" s="38" t="s">
        <v>62</v>
      </c>
      <c r="E1342" s="37"/>
      <c r="F1342" s="37"/>
      <c r="G1342" s="39">
        <v>412800</v>
      </c>
      <c r="H1342" s="37">
        <v>0</v>
      </c>
      <c r="I1342" s="37">
        <v>44</v>
      </c>
      <c r="J1342" s="284">
        <v>3</v>
      </c>
      <c r="K1342" s="40">
        <v>2014</v>
      </c>
      <c r="L1342" s="40">
        <v>11</v>
      </c>
      <c r="M1342" s="40">
        <v>30</v>
      </c>
      <c r="N1342" s="37"/>
    </row>
    <row r="1343" spans="1:14">
      <c r="A1343" s="26">
        <v>500103</v>
      </c>
      <c r="B1343" s="27" t="s">
        <v>1010</v>
      </c>
      <c r="C1343" s="26" t="s">
        <v>157</v>
      </c>
      <c r="D1343" s="27" t="s">
        <v>160</v>
      </c>
      <c r="G1343" s="28">
        <v>0</v>
      </c>
      <c r="H1343" s="26">
        <v>23000</v>
      </c>
      <c r="I1343" s="26">
        <v>45</v>
      </c>
      <c r="J1343" s="36">
        <v>3</v>
      </c>
      <c r="K1343" s="34">
        <v>2014</v>
      </c>
      <c r="L1343" s="34">
        <v>11</v>
      </c>
      <c r="M1343" s="34">
        <v>30</v>
      </c>
      <c r="N1343" s="26"/>
    </row>
    <row r="1344" spans="1:14">
      <c r="A1344" s="37">
        <v>112214</v>
      </c>
      <c r="B1344" s="38" t="s">
        <v>1010</v>
      </c>
      <c r="C1344" s="37" t="s">
        <v>49</v>
      </c>
      <c r="D1344" s="38" t="s">
        <v>63</v>
      </c>
      <c r="E1344" s="37"/>
      <c r="F1344" s="37"/>
      <c r="G1344" s="39">
        <v>23000</v>
      </c>
      <c r="H1344" s="37">
        <v>0</v>
      </c>
      <c r="I1344" s="26">
        <v>45</v>
      </c>
      <c r="J1344" s="284">
        <v>3</v>
      </c>
      <c r="K1344" s="40">
        <v>2014</v>
      </c>
      <c r="L1344" s="40">
        <v>11</v>
      </c>
      <c r="M1344" s="40">
        <v>30</v>
      </c>
      <c r="N1344" s="37"/>
    </row>
    <row r="1345" spans="1:14">
      <c r="A1345" s="37">
        <v>222102</v>
      </c>
      <c r="B1345" s="38" t="s">
        <v>1011</v>
      </c>
      <c r="C1345" s="37" t="s">
        <v>126</v>
      </c>
      <c r="D1345" s="38" t="s">
        <v>128</v>
      </c>
      <c r="E1345" s="37"/>
      <c r="F1345" s="37"/>
      <c r="G1345" s="39">
        <v>690</v>
      </c>
      <c r="H1345" s="37">
        <v>0</v>
      </c>
      <c r="I1345" s="37">
        <v>46</v>
      </c>
      <c r="J1345" s="284">
        <v>3</v>
      </c>
      <c r="K1345" s="40">
        <v>2014</v>
      </c>
      <c r="L1345" s="40">
        <v>11</v>
      </c>
      <c r="M1345" s="40">
        <v>30</v>
      </c>
      <c r="N1345" s="37"/>
    </row>
    <row r="1346" spans="1:14">
      <c r="A1346" s="26">
        <v>222103</v>
      </c>
      <c r="B1346" s="27" t="s">
        <v>1011</v>
      </c>
      <c r="C1346" s="26" t="s">
        <v>126</v>
      </c>
      <c r="D1346" s="27" t="s">
        <v>129</v>
      </c>
      <c r="G1346" s="28">
        <v>48.3</v>
      </c>
      <c r="H1346" s="26">
        <v>0</v>
      </c>
      <c r="I1346" s="26">
        <v>46</v>
      </c>
      <c r="J1346" s="36">
        <v>3</v>
      </c>
      <c r="K1346" s="34">
        <v>2014</v>
      </c>
      <c r="L1346" s="34">
        <v>11</v>
      </c>
      <c r="M1346" s="34">
        <v>30</v>
      </c>
      <c r="N1346" s="26"/>
    </row>
    <row r="1347" spans="1:14">
      <c r="A1347" s="26">
        <v>222104</v>
      </c>
      <c r="B1347" s="27" t="s">
        <v>1011</v>
      </c>
      <c r="C1347" s="26" t="s">
        <v>126</v>
      </c>
      <c r="D1347" s="27" t="s">
        <v>130</v>
      </c>
      <c r="G1347" s="28">
        <v>34.5</v>
      </c>
      <c r="H1347" s="26">
        <v>0</v>
      </c>
      <c r="I1347" s="26">
        <v>46</v>
      </c>
      <c r="J1347" s="36">
        <v>3</v>
      </c>
      <c r="K1347" s="34">
        <v>2014</v>
      </c>
      <c r="L1347" s="34">
        <v>11</v>
      </c>
      <c r="M1347" s="34">
        <v>30</v>
      </c>
      <c r="N1347" s="26"/>
    </row>
    <row r="1348" spans="1:14">
      <c r="A1348" s="26">
        <v>222105</v>
      </c>
      <c r="B1348" s="27" t="s">
        <v>1011</v>
      </c>
      <c r="C1348" s="26" t="s">
        <v>126</v>
      </c>
      <c r="D1348" s="27" t="s">
        <v>131</v>
      </c>
      <c r="G1348" s="28">
        <v>6.9</v>
      </c>
      <c r="H1348" s="26">
        <v>0</v>
      </c>
      <c r="I1348" s="26">
        <v>46</v>
      </c>
      <c r="J1348" s="36">
        <v>3</v>
      </c>
      <c r="K1348" s="34">
        <v>2014</v>
      </c>
      <c r="L1348" s="34">
        <v>11</v>
      </c>
      <c r="M1348" s="34">
        <v>30</v>
      </c>
      <c r="N1348" s="26"/>
    </row>
    <row r="1349" spans="1:14">
      <c r="A1349" s="26">
        <v>580101</v>
      </c>
      <c r="B1349" s="27" t="s">
        <v>1011</v>
      </c>
      <c r="C1349" s="26" t="s">
        <v>183</v>
      </c>
      <c r="D1349" s="27" t="s">
        <v>184</v>
      </c>
      <c r="G1349" s="28">
        <v>184</v>
      </c>
      <c r="H1349" s="26">
        <v>0</v>
      </c>
      <c r="I1349" s="26">
        <v>46</v>
      </c>
      <c r="J1349" s="36">
        <v>3</v>
      </c>
      <c r="K1349" s="34">
        <v>2014</v>
      </c>
      <c r="L1349" s="34">
        <v>11</v>
      </c>
      <c r="M1349" s="34">
        <v>30</v>
      </c>
      <c r="N1349" s="26"/>
    </row>
    <row r="1350" spans="1:14">
      <c r="A1350" s="26">
        <v>224104</v>
      </c>
      <c r="B1350" s="27" t="s">
        <v>1011</v>
      </c>
      <c r="C1350" s="26" t="s">
        <v>140</v>
      </c>
      <c r="D1350" s="27" t="s">
        <v>142</v>
      </c>
      <c r="G1350" s="28">
        <v>23</v>
      </c>
      <c r="H1350" s="26">
        <v>0</v>
      </c>
      <c r="I1350" s="26">
        <v>46</v>
      </c>
      <c r="J1350" s="36">
        <v>3</v>
      </c>
      <c r="K1350" s="34">
        <v>2014</v>
      </c>
      <c r="L1350" s="34">
        <v>11</v>
      </c>
      <c r="M1350" s="34">
        <v>30</v>
      </c>
      <c r="N1350" s="26"/>
    </row>
    <row r="1351" spans="1:14">
      <c r="A1351" s="26">
        <v>122109</v>
      </c>
      <c r="B1351" s="27" t="s">
        <v>1011</v>
      </c>
      <c r="C1351" s="26" t="s">
        <v>78</v>
      </c>
      <c r="D1351" s="27" t="s">
        <v>12</v>
      </c>
      <c r="G1351" s="28">
        <v>0</v>
      </c>
      <c r="H1351" s="26">
        <v>986.7</v>
      </c>
      <c r="I1351" s="26">
        <v>46</v>
      </c>
      <c r="J1351" s="36">
        <v>3</v>
      </c>
      <c r="K1351" s="34">
        <v>2014</v>
      </c>
      <c r="L1351" s="34">
        <v>11</v>
      </c>
      <c r="M1351" s="34">
        <v>30</v>
      </c>
      <c r="N1351" s="26"/>
    </row>
    <row r="1352" spans="1:14">
      <c r="A1352" s="26">
        <v>222121</v>
      </c>
      <c r="B1352" s="27" t="s">
        <v>1012</v>
      </c>
      <c r="C1352" s="26" t="s">
        <v>126</v>
      </c>
      <c r="D1352" s="27" t="s">
        <v>133</v>
      </c>
      <c r="G1352" s="28">
        <v>929.91</v>
      </c>
      <c r="H1352" s="26">
        <v>0</v>
      </c>
      <c r="I1352" s="26">
        <v>47</v>
      </c>
      <c r="J1352" s="36">
        <v>1</v>
      </c>
      <c r="K1352" s="34">
        <v>2014</v>
      </c>
      <c r="L1352" s="34">
        <v>11</v>
      </c>
      <c r="M1352" s="34">
        <v>30</v>
      </c>
      <c r="N1352" s="26"/>
    </row>
    <row r="1353" spans="1:14">
      <c r="A1353" s="26">
        <v>560203</v>
      </c>
      <c r="B1353" s="27" t="s">
        <v>1012</v>
      </c>
      <c r="C1353" s="26" t="s">
        <v>166</v>
      </c>
      <c r="D1353" s="27" t="s">
        <v>169</v>
      </c>
      <c r="G1353" s="28">
        <v>5470.09</v>
      </c>
      <c r="H1353" s="26">
        <v>0</v>
      </c>
      <c r="I1353" s="26">
        <v>47</v>
      </c>
      <c r="J1353" s="36">
        <v>1</v>
      </c>
      <c r="K1353" s="34">
        <v>2014</v>
      </c>
      <c r="L1353" s="34">
        <v>11</v>
      </c>
      <c r="M1353" s="34">
        <v>30</v>
      </c>
      <c r="N1353" s="26"/>
    </row>
    <row r="1354" spans="1:14">
      <c r="A1354" s="37">
        <v>122105</v>
      </c>
      <c r="B1354" s="38" t="s">
        <v>1012</v>
      </c>
      <c r="C1354" s="37" t="s">
        <v>78</v>
      </c>
      <c r="D1354" s="38" t="s">
        <v>83</v>
      </c>
      <c r="E1354" s="37"/>
      <c r="F1354" s="37"/>
      <c r="G1354" s="39">
        <v>0</v>
      </c>
      <c r="H1354" s="37">
        <v>6400</v>
      </c>
      <c r="I1354" s="37">
        <v>47</v>
      </c>
      <c r="J1354" s="284">
        <v>1</v>
      </c>
      <c r="K1354" s="40">
        <v>2014</v>
      </c>
      <c r="L1354" s="40">
        <v>11</v>
      </c>
      <c r="M1354" s="40">
        <v>30</v>
      </c>
      <c r="N1354" s="37"/>
    </row>
    <row r="1355" spans="1:14">
      <c r="A1355" s="26">
        <v>540101</v>
      </c>
      <c r="B1355" s="27" t="s">
        <v>1013</v>
      </c>
      <c r="C1355" s="26" t="s">
        <v>161</v>
      </c>
      <c r="D1355" s="27" t="s">
        <v>162</v>
      </c>
      <c r="G1355" s="28">
        <v>328000</v>
      </c>
      <c r="H1355" s="26">
        <v>0</v>
      </c>
      <c r="I1355" s="26">
        <v>48</v>
      </c>
      <c r="J1355" s="36">
        <v>1</v>
      </c>
      <c r="K1355" s="34">
        <v>2014</v>
      </c>
      <c r="L1355" s="34">
        <v>11</v>
      </c>
      <c r="M1355" s="34">
        <v>30</v>
      </c>
      <c r="N1355" s="26"/>
    </row>
    <row r="1356" spans="1:14">
      <c r="A1356" s="37">
        <v>140501</v>
      </c>
      <c r="B1356" s="38" t="s">
        <v>1013</v>
      </c>
      <c r="C1356" s="37" t="s">
        <v>89</v>
      </c>
      <c r="D1356" s="38" t="s">
        <v>90</v>
      </c>
      <c r="E1356" s="37"/>
      <c r="F1356" s="37"/>
      <c r="G1356" s="39">
        <v>0</v>
      </c>
      <c r="H1356" s="37">
        <v>328000</v>
      </c>
      <c r="I1356" s="37">
        <v>48</v>
      </c>
      <c r="J1356" s="284">
        <v>1</v>
      </c>
      <c r="K1356" s="40">
        <v>2014</v>
      </c>
      <c r="L1356" s="40">
        <v>11</v>
      </c>
      <c r="M1356" s="40">
        <v>30</v>
      </c>
      <c r="N1356" s="37"/>
    </row>
    <row r="1357" spans="1:14">
      <c r="A1357" s="26">
        <v>221105</v>
      </c>
      <c r="B1357" s="27" t="s">
        <v>1014</v>
      </c>
      <c r="C1357" s="26" t="s">
        <v>113</v>
      </c>
      <c r="D1357" s="27" t="s">
        <v>118</v>
      </c>
      <c r="G1357" s="28">
        <v>14000</v>
      </c>
      <c r="H1357" s="26">
        <v>0</v>
      </c>
      <c r="I1357" s="26">
        <v>49</v>
      </c>
      <c r="J1357" s="36">
        <v>1</v>
      </c>
      <c r="K1357" s="34">
        <v>2014</v>
      </c>
      <c r="L1357" s="34">
        <v>11</v>
      </c>
      <c r="M1357" s="34">
        <v>30</v>
      </c>
      <c r="N1357" s="26"/>
    </row>
    <row r="1358" spans="1:14">
      <c r="A1358" s="37">
        <v>221110</v>
      </c>
      <c r="B1358" s="38" t="s">
        <v>1015</v>
      </c>
      <c r="C1358" s="37" t="s">
        <v>113</v>
      </c>
      <c r="D1358" s="38" t="s">
        <v>123</v>
      </c>
      <c r="E1358" s="37"/>
      <c r="F1358" s="37"/>
      <c r="G1358" s="39">
        <v>0</v>
      </c>
      <c r="H1358" s="37">
        <v>14000</v>
      </c>
      <c r="I1358" s="37">
        <v>49</v>
      </c>
      <c r="J1358" s="284">
        <v>1</v>
      </c>
      <c r="K1358" s="40">
        <v>2014</v>
      </c>
      <c r="L1358" s="40">
        <v>11</v>
      </c>
      <c r="M1358" s="40">
        <v>30</v>
      </c>
      <c r="N1358" s="37"/>
    </row>
    <row r="1359" spans="1:14">
      <c r="A1359" s="26">
        <v>221111</v>
      </c>
      <c r="B1359" s="27" t="s">
        <v>1016</v>
      </c>
      <c r="C1359" s="26" t="s">
        <v>113</v>
      </c>
      <c r="D1359" s="27" t="s">
        <v>124</v>
      </c>
      <c r="G1359" s="28">
        <v>0</v>
      </c>
      <c r="H1359" s="26">
        <v>3650</v>
      </c>
      <c r="I1359" s="26">
        <v>50</v>
      </c>
      <c r="J1359" s="36">
        <v>0</v>
      </c>
      <c r="K1359" s="34">
        <v>2014</v>
      </c>
      <c r="L1359" s="34">
        <v>11</v>
      </c>
      <c r="M1359" s="34">
        <v>30</v>
      </c>
      <c r="N1359" s="26"/>
    </row>
    <row r="1360" spans="1:14">
      <c r="A1360" s="26">
        <v>221105</v>
      </c>
      <c r="B1360" s="27" t="s">
        <v>1016</v>
      </c>
      <c r="C1360" s="26" t="s">
        <v>113</v>
      </c>
      <c r="D1360" s="27" t="s">
        <v>118</v>
      </c>
      <c r="G1360" s="28">
        <v>3650</v>
      </c>
      <c r="H1360" s="26">
        <v>0</v>
      </c>
      <c r="I1360" s="26">
        <v>50</v>
      </c>
      <c r="J1360" s="36">
        <v>0</v>
      </c>
      <c r="K1360" s="34">
        <v>2014</v>
      </c>
      <c r="L1360" s="34">
        <v>11</v>
      </c>
      <c r="M1360" s="34">
        <v>30</v>
      </c>
      <c r="N1360" s="26"/>
    </row>
    <row r="1361" spans="1:14">
      <c r="A1361" s="26">
        <v>440107</v>
      </c>
      <c r="B1361" s="27" t="s">
        <v>1016</v>
      </c>
      <c r="C1361" s="26" t="s">
        <v>149</v>
      </c>
      <c r="D1361" s="27" t="s">
        <v>156</v>
      </c>
      <c r="G1361" s="28">
        <v>3650</v>
      </c>
      <c r="H1361" s="26">
        <v>0</v>
      </c>
      <c r="I1361" s="26">
        <v>50</v>
      </c>
      <c r="J1361" s="36">
        <v>0</v>
      </c>
      <c r="K1361" s="34">
        <v>2014</v>
      </c>
      <c r="L1361" s="34">
        <v>11</v>
      </c>
      <c r="M1361" s="34">
        <v>30</v>
      </c>
      <c r="N1361" s="26"/>
    </row>
    <row r="1362" spans="1:14">
      <c r="A1362" s="26">
        <v>440106</v>
      </c>
      <c r="B1362" s="27" t="s">
        <v>1016</v>
      </c>
      <c r="C1362" s="26" t="s">
        <v>149</v>
      </c>
      <c r="D1362" s="27" t="s">
        <v>155</v>
      </c>
      <c r="G1362" s="28">
        <v>0</v>
      </c>
      <c r="H1362" s="26">
        <v>3650</v>
      </c>
      <c r="I1362" s="26">
        <v>50</v>
      </c>
      <c r="J1362" s="36">
        <v>0</v>
      </c>
      <c r="K1362" s="34">
        <v>2014</v>
      </c>
      <c r="L1362" s="34">
        <v>11</v>
      </c>
      <c r="M1362" s="34">
        <v>30</v>
      </c>
      <c r="N1362" s="26"/>
    </row>
    <row r="1363" spans="1:14">
      <c r="A1363" s="26">
        <v>440107</v>
      </c>
      <c r="B1363" s="27" t="s">
        <v>1016</v>
      </c>
      <c r="C1363" s="26" t="s">
        <v>149</v>
      </c>
      <c r="D1363" s="27" t="s">
        <v>156</v>
      </c>
      <c r="G1363" s="28">
        <v>0</v>
      </c>
      <c r="H1363" s="26">
        <v>3650</v>
      </c>
      <c r="I1363" s="26">
        <v>50</v>
      </c>
      <c r="J1363" s="36">
        <v>0</v>
      </c>
      <c r="K1363" s="34">
        <v>2014</v>
      </c>
      <c r="L1363" s="34">
        <v>11</v>
      </c>
      <c r="M1363" s="34">
        <v>30</v>
      </c>
      <c r="N1363" s="26"/>
    </row>
    <row r="1364" spans="1:14">
      <c r="A1364" s="37">
        <v>540103</v>
      </c>
      <c r="B1364" s="38" t="s">
        <v>1016</v>
      </c>
      <c r="C1364" s="37" t="s">
        <v>161</v>
      </c>
      <c r="D1364" s="38" t="s">
        <v>164</v>
      </c>
      <c r="E1364" s="37"/>
      <c r="F1364" s="37"/>
      <c r="G1364" s="39">
        <v>3650</v>
      </c>
      <c r="H1364" s="37">
        <v>0</v>
      </c>
      <c r="I1364" s="37">
        <v>50</v>
      </c>
      <c r="J1364" s="284">
        <v>0</v>
      </c>
      <c r="K1364" s="40">
        <v>2014</v>
      </c>
      <c r="L1364" s="40">
        <v>11</v>
      </c>
      <c r="M1364" s="40">
        <v>30</v>
      </c>
      <c r="N1364" s="37"/>
    </row>
    <row r="1365" spans="1:14">
      <c r="A1365" s="26">
        <v>100201</v>
      </c>
      <c r="B1365" s="27" t="s">
        <v>1017</v>
      </c>
      <c r="C1365" s="26" t="s">
        <v>47</v>
      </c>
      <c r="D1365" s="27" t="s">
        <v>48</v>
      </c>
      <c r="G1365" s="28">
        <v>12000</v>
      </c>
      <c r="H1365" s="26">
        <v>0</v>
      </c>
      <c r="I1365" s="26">
        <v>51</v>
      </c>
      <c r="J1365" s="36">
        <v>1</v>
      </c>
      <c r="K1365" s="34">
        <v>2014</v>
      </c>
      <c r="L1365" s="34">
        <v>11</v>
      </c>
      <c r="M1365" s="34">
        <v>30</v>
      </c>
      <c r="N1365" s="26"/>
    </row>
    <row r="1366" spans="1:14">
      <c r="A1366" s="37">
        <v>112211</v>
      </c>
      <c r="B1366" s="38" t="s">
        <v>1018</v>
      </c>
      <c r="C1366" s="37" t="s">
        <v>49</v>
      </c>
      <c r="D1366" s="38" t="s">
        <v>60</v>
      </c>
      <c r="E1366" s="37"/>
      <c r="F1366" s="37"/>
      <c r="G1366" s="39">
        <v>0</v>
      </c>
      <c r="H1366" s="37">
        <v>12000</v>
      </c>
      <c r="I1366" s="37">
        <v>51</v>
      </c>
      <c r="J1366" s="284">
        <v>1</v>
      </c>
      <c r="K1366" s="40">
        <v>2014</v>
      </c>
      <c r="L1366" s="40">
        <v>11</v>
      </c>
      <c r="M1366" s="40">
        <v>30</v>
      </c>
      <c r="N1366" s="37"/>
    </row>
    <row r="1367" spans="1:14">
      <c r="A1367" s="26">
        <v>100201</v>
      </c>
      <c r="B1367" s="27" t="s">
        <v>1019</v>
      </c>
      <c r="C1367" s="26" t="s">
        <v>47</v>
      </c>
      <c r="D1367" s="27" t="s">
        <v>48</v>
      </c>
      <c r="G1367" s="28">
        <v>0</v>
      </c>
      <c r="H1367" s="26">
        <v>88</v>
      </c>
      <c r="I1367" s="26">
        <v>52</v>
      </c>
      <c r="J1367" s="36">
        <v>2</v>
      </c>
      <c r="K1367" s="34">
        <v>2014</v>
      </c>
      <c r="L1367" s="34">
        <v>11</v>
      </c>
      <c r="M1367" s="34">
        <v>30</v>
      </c>
      <c r="N1367" s="26"/>
    </row>
    <row r="1368" spans="1:14">
      <c r="A1368" s="37">
        <v>560209</v>
      </c>
      <c r="B1368" s="38" t="s">
        <v>1019</v>
      </c>
      <c r="C1368" s="37" t="s">
        <v>166</v>
      </c>
      <c r="D1368" s="38" t="s">
        <v>175</v>
      </c>
      <c r="E1368" s="37"/>
      <c r="F1368" s="37"/>
      <c r="G1368" s="39">
        <v>88</v>
      </c>
      <c r="H1368" s="37">
        <v>0</v>
      </c>
      <c r="I1368" s="37">
        <v>52</v>
      </c>
      <c r="J1368" s="284">
        <v>2</v>
      </c>
      <c r="K1368" s="40">
        <v>2014</v>
      </c>
      <c r="L1368" s="40">
        <v>11</v>
      </c>
      <c r="M1368" s="40">
        <v>30</v>
      </c>
      <c r="N1368" s="37"/>
    </row>
    <row r="1369" spans="1:14">
      <c r="A1369" s="26">
        <v>122106</v>
      </c>
      <c r="B1369" s="27" t="s">
        <v>1020</v>
      </c>
      <c r="C1369" s="26" t="s">
        <v>78</v>
      </c>
      <c r="D1369" s="27" t="s">
        <v>84</v>
      </c>
      <c r="G1369" s="28">
        <v>60</v>
      </c>
      <c r="H1369" s="26">
        <v>0</v>
      </c>
      <c r="I1369" s="26">
        <v>53</v>
      </c>
      <c r="J1369" s="36">
        <v>1</v>
      </c>
      <c r="K1369" s="34">
        <v>2014</v>
      </c>
      <c r="L1369" s="34">
        <v>11</v>
      </c>
      <c r="M1369" s="34">
        <v>30</v>
      </c>
      <c r="N1369" s="26"/>
    </row>
    <row r="1370" spans="1:14">
      <c r="A1370" s="37">
        <v>100201</v>
      </c>
      <c r="B1370" s="38" t="s">
        <v>1020</v>
      </c>
      <c r="C1370" s="37" t="s">
        <v>47</v>
      </c>
      <c r="D1370" s="38" t="s">
        <v>48</v>
      </c>
      <c r="E1370" s="37"/>
      <c r="F1370" s="37"/>
      <c r="G1370" s="39">
        <v>0</v>
      </c>
      <c r="H1370" s="37">
        <v>60</v>
      </c>
      <c r="I1370" s="37">
        <v>53</v>
      </c>
      <c r="J1370" s="284">
        <v>1</v>
      </c>
      <c r="K1370" s="40">
        <v>2014</v>
      </c>
      <c r="L1370" s="40">
        <v>11</v>
      </c>
      <c r="M1370" s="40">
        <v>30</v>
      </c>
      <c r="N1370" s="37"/>
    </row>
    <row r="1371" spans="1:14">
      <c r="A1371" s="26">
        <v>140201</v>
      </c>
      <c r="B1371" s="27" t="s">
        <v>1021</v>
      </c>
      <c r="C1371" s="26" t="s">
        <v>87</v>
      </c>
      <c r="D1371" s="27" t="s">
        <v>88</v>
      </c>
      <c r="G1371" s="28">
        <v>92</v>
      </c>
      <c r="H1371" s="26">
        <v>0</v>
      </c>
      <c r="I1371" s="26">
        <v>54</v>
      </c>
      <c r="J1371" s="36">
        <v>1</v>
      </c>
      <c r="K1371" s="34">
        <v>2014</v>
      </c>
      <c r="L1371" s="34">
        <v>11</v>
      </c>
      <c r="M1371" s="34">
        <v>30</v>
      </c>
      <c r="N1371" s="26"/>
    </row>
    <row r="1372" spans="1:14">
      <c r="A1372" s="37">
        <v>100201</v>
      </c>
      <c r="B1372" s="38" t="s">
        <v>1021</v>
      </c>
      <c r="C1372" s="37" t="s">
        <v>47</v>
      </c>
      <c r="D1372" s="38" t="s">
        <v>48</v>
      </c>
      <c r="E1372" s="37"/>
      <c r="F1372" s="37"/>
      <c r="G1372" s="39">
        <v>0</v>
      </c>
      <c r="H1372" s="37">
        <v>92</v>
      </c>
      <c r="I1372" s="37">
        <v>54</v>
      </c>
      <c r="J1372" s="284">
        <v>1</v>
      </c>
      <c r="K1372" s="40">
        <v>2014</v>
      </c>
      <c r="L1372" s="40">
        <v>11</v>
      </c>
      <c r="M1372" s="40">
        <v>30</v>
      </c>
      <c r="N1372" s="37"/>
    </row>
    <row r="1373" spans="1:14">
      <c r="A1373" s="26">
        <v>222121</v>
      </c>
      <c r="B1373" s="27" t="s">
        <v>1022</v>
      </c>
      <c r="C1373" s="26" t="s">
        <v>126</v>
      </c>
      <c r="D1373" s="27" t="s">
        <v>133</v>
      </c>
      <c r="G1373" s="28">
        <v>290.6</v>
      </c>
      <c r="H1373" s="26">
        <v>0</v>
      </c>
      <c r="I1373" s="26">
        <v>9</v>
      </c>
      <c r="J1373" s="36">
        <v>1</v>
      </c>
      <c r="K1373" s="34">
        <v>2014</v>
      </c>
      <c r="L1373" s="34">
        <v>11</v>
      </c>
      <c r="M1373" s="34">
        <v>30</v>
      </c>
      <c r="N1373" s="26"/>
    </row>
    <row r="1374" spans="1:14">
      <c r="A1374" s="26">
        <v>540101</v>
      </c>
      <c r="B1374" s="27" t="s">
        <v>1022</v>
      </c>
      <c r="C1374" s="26" t="s">
        <v>161</v>
      </c>
      <c r="D1374" s="27" t="s">
        <v>162</v>
      </c>
      <c r="G1374" s="28">
        <v>1709.4</v>
      </c>
      <c r="H1374" s="26">
        <v>0</v>
      </c>
      <c r="I1374" s="26">
        <v>9</v>
      </c>
      <c r="J1374" s="36">
        <v>1</v>
      </c>
      <c r="K1374" s="34">
        <v>2014</v>
      </c>
      <c r="L1374" s="34">
        <v>11</v>
      </c>
      <c r="M1374" s="34">
        <v>30</v>
      </c>
      <c r="N1374" s="26"/>
    </row>
    <row r="1375" spans="1:14">
      <c r="A1375" s="26">
        <v>540101</v>
      </c>
      <c r="B1375" s="27" t="s">
        <v>1022</v>
      </c>
      <c r="C1375" s="26" t="s">
        <v>161</v>
      </c>
      <c r="D1375" s="27" t="s">
        <v>162</v>
      </c>
      <c r="G1375" s="28">
        <v>-140</v>
      </c>
      <c r="H1375" s="26">
        <v>0</v>
      </c>
      <c r="I1375" s="26">
        <v>9</v>
      </c>
      <c r="J1375" s="36">
        <v>1</v>
      </c>
      <c r="K1375" s="34">
        <v>2014</v>
      </c>
      <c r="L1375" s="34">
        <v>11</v>
      </c>
      <c r="M1375" s="34">
        <v>30</v>
      </c>
      <c r="N1375" s="26"/>
    </row>
    <row r="1376" spans="1:14">
      <c r="A1376" s="26">
        <v>122105</v>
      </c>
      <c r="B1376" s="27" t="s">
        <v>1022</v>
      </c>
      <c r="C1376" s="26" t="s">
        <v>78</v>
      </c>
      <c r="D1376" s="27" t="s">
        <v>83</v>
      </c>
      <c r="G1376" s="28">
        <v>0</v>
      </c>
      <c r="H1376" s="26">
        <v>-140</v>
      </c>
      <c r="I1376" s="26">
        <v>9</v>
      </c>
      <c r="J1376" s="36">
        <v>1</v>
      </c>
      <c r="K1376" s="34">
        <v>2014</v>
      </c>
      <c r="L1376" s="34">
        <v>11</v>
      </c>
      <c r="M1376" s="34">
        <v>30</v>
      </c>
      <c r="N1376" s="26"/>
    </row>
    <row r="1377" spans="1:14">
      <c r="A1377" s="37">
        <v>140202</v>
      </c>
      <c r="B1377" s="38" t="s">
        <v>1022</v>
      </c>
      <c r="C1377" s="37" t="s">
        <v>87</v>
      </c>
      <c r="D1377" s="38" t="s">
        <v>84</v>
      </c>
      <c r="E1377" s="37"/>
      <c r="F1377" s="37"/>
      <c r="G1377" s="39">
        <v>0</v>
      </c>
      <c r="H1377" s="37">
        <v>2000</v>
      </c>
      <c r="I1377" s="37">
        <v>9</v>
      </c>
      <c r="J1377" s="284">
        <v>1</v>
      </c>
      <c r="K1377" s="40">
        <v>2014</v>
      </c>
      <c r="L1377" s="40">
        <v>11</v>
      </c>
      <c r="M1377" s="40">
        <v>30</v>
      </c>
      <c r="N1377" s="37"/>
    </row>
    <row r="1378" spans="1:14">
      <c r="A1378" s="26">
        <v>140202</v>
      </c>
      <c r="B1378" s="27" t="s">
        <v>1023</v>
      </c>
      <c r="C1378" s="26" t="s">
        <v>87</v>
      </c>
      <c r="D1378" s="27" t="s">
        <v>84</v>
      </c>
      <c r="G1378" s="28">
        <v>580</v>
      </c>
      <c r="H1378" s="26">
        <v>0</v>
      </c>
      <c r="I1378" s="26">
        <v>24</v>
      </c>
      <c r="J1378" s="36">
        <v>1</v>
      </c>
      <c r="K1378" s="34">
        <v>2014</v>
      </c>
      <c r="L1378" s="34">
        <v>11</v>
      </c>
      <c r="M1378" s="34">
        <v>30</v>
      </c>
      <c r="N1378" s="26"/>
    </row>
    <row r="1379" spans="1:14">
      <c r="A1379" s="26">
        <v>122105</v>
      </c>
      <c r="B1379" s="27" t="s">
        <v>1024</v>
      </c>
      <c r="C1379" s="26" t="s">
        <v>78</v>
      </c>
      <c r="D1379" s="27" t="s">
        <v>83</v>
      </c>
      <c r="G1379" s="28">
        <v>0</v>
      </c>
      <c r="H1379" s="26">
        <v>70</v>
      </c>
      <c r="I1379" s="26">
        <v>24</v>
      </c>
      <c r="J1379" s="36">
        <v>1</v>
      </c>
      <c r="K1379" s="34">
        <v>2014</v>
      </c>
      <c r="L1379" s="34">
        <v>11</v>
      </c>
      <c r="M1379" s="34">
        <v>30</v>
      </c>
      <c r="N1379" s="26"/>
    </row>
    <row r="1380" spans="1:14">
      <c r="A1380" s="26">
        <v>122105</v>
      </c>
      <c r="B1380" s="27" t="s">
        <v>1024</v>
      </c>
      <c r="C1380" s="26" t="s">
        <v>78</v>
      </c>
      <c r="D1380" s="27" t="s">
        <v>83</v>
      </c>
      <c r="G1380" s="28">
        <v>0</v>
      </c>
      <c r="H1380" s="26">
        <v>70</v>
      </c>
      <c r="I1380" s="26">
        <v>24</v>
      </c>
      <c r="J1380" s="36">
        <v>1</v>
      </c>
      <c r="K1380" s="34">
        <v>2014</v>
      </c>
      <c r="L1380" s="34">
        <v>11</v>
      </c>
      <c r="M1380" s="34">
        <v>30</v>
      </c>
      <c r="N1380" s="26"/>
    </row>
    <row r="1381" spans="1:14">
      <c r="A1381" s="26">
        <v>122105</v>
      </c>
      <c r="B1381" s="27" t="s">
        <v>1024</v>
      </c>
      <c r="C1381" s="26" t="s">
        <v>78</v>
      </c>
      <c r="D1381" s="27" t="s">
        <v>83</v>
      </c>
      <c r="G1381" s="28">
        <v>0</v>
      </c>
      <c r="H1381" s="26">
        <v>340</v>
      </c>
      <c r="I1381" s="26">
        <v>24</v>
      </c>
      <c r="J1381" s="36">
        <v>1</v>
      </c>
      <c r="K1381" s="34">
        <v>2014</v>
      </c>
      <c r="L1381" s="34">
        <v>11</v>
      </c>
      <c r="M1381" s="34">
        <v>30</v>
      </c>
      <c r="N1381" s="26"/>
    </row>
    <row r="1382" spans="1:14">
      <c r="A1382" s="37">
        <v>122105</v>
      </c>
      <c r="B1382" s="38" t="s">
        <v>1024</v>
      </c>
      <c r="C1382" s="37" t="s">
        <v>78</v>
      </c>
      <c r="D1382" s="38" t="s">
        <v>83</v>
      </c>
      <c r="E1382" s="37"/>
      <c r="F1382" s="37"/>
      <c r="G1382" s="39">
        <v>0</v>
      </c>
      <c r="H1382" s="37">
        <v>100</v>
      </c>
      <c r="I1382" s="37">
        <v>24</v>
      </c>
      <c r="J1382" s="284">
        <v>1</v>
      </c>
      <c r="K1382" s="40">
        <v>2014</v>
      </c>
      <c r="L1382" s="40">
        <v>11</v>
      </c>
      <c r="M1382" s="40">
        <v>30</v>
      </c>
      <c r="N1382" s="37"/>
    </row>
    <row r="1383" spans="1:14">
      <c r="A1383" s="26">
        <v>140202</v>
      </c>
      <c r="B1383" s="27" t="s">
        <v>1025</v>
      </c>
      <c r="C1383" s="26" t="s">
        <v>87</v>
      </c>
      <c r="D1383" s="27" t="s">
        <v>84</v>
      </c>
      <c r="G1383" s="28">
        <v>370</v>
      </c>
      <c r="H1383" s="26">
        <v>0</v>
      </c>
      <c r="I1383" s="26">
        <v>55</v>
      </c>
      <c r="J1383" s="36">
        <v>1</v>
      </c>
      <c r="K1383" s="34">
        <v>2014</v>
      </c>
      <c r="L1383" s="34">
        <v>11</v>
      </c>
      <c r="M1383" s="34">
        <v>30</v>
      </c>
      <c r="N1383" s="26"/>
    </row>
    <row r="1384" spans="1:14">
      <c r="A1384" s="37">
        <v>100201</v>
      </c>
      <c r="B1384" s="38" t="s">
        <v>1025</v>
      </c>
      <c r="C1384" s="37" t="s">
        <v>47</v>
      </c>
      <c r="D1384" s="38" t="s">
        <v>48</v>
      </c>
      <c r="E1384" s="37"/>
      <c r="F1384" s="37"/>
      <c r="G1384" s="39">
        <v>0</v>
      </c>
      <c r="H1384" s="37">
        <v>370</v>
      </c>
      <c r="I1384" s="37">
        <v>55</v>
      </c>
      <c r="J1384" s="284">
        <v>1</v>
      </c>
      <c r="K1384" s="40">
        <v>2014</v>
      </c>
      <c r="L1384" s="40">
        <v>11</v>
      </c>
      <c r="M1384" s="40">
        <v>30</v>
      </c>
      <c r="N1384" s="37"/>
    </row>
    <row r="1385" spans="1:14">
      <c r="A1385" s="26">
        <v>100101</v>
      </c>
      <c r="B1385" s="27" t="s">
        <v>1026</v>
      </c>
      <c r="C1385" s="26" t="s">
        <v>46</v>
      </c>
      <c r="D1385" s="27" t="s">
        <v>14</v>
      </c>
      <c r="G1385" s="28">
        <v>18000</v>
      </c>
      <c r="H1385" s="26">
        <v>0</v>
      </c>
      <c r="I1385" s="26">
        <v>56</v>
      </c>
      <c r="J1385" s="36">
        <v>1</v>
      </c>
      <c r="K1385" s="34">
        <v>2014</v>
      </c>
      <c r="L1385" s="34">
        <v>11</v>
      </c>
      <c r="M1385" s="34">
        <v>30</v>
      </c>
      <c r="N1385" s="26"/>
    </row>
    <row r="1386" spans="1:14">
      <c r="A1386" s="37">
        <v>100201</v>
      </c>
      <c r="B1386" s="38" t="s">
        <v>1026</v>
      </c>
      <c r="C1386" s="37" t="s">
        <v>47</v>
      </c>
      <c r="D1386" s="38" t="s">
        <v>48</v>
      </c>
      <c r="E1386" s="37"/>
      <c r="F1386" s="37"/>
      <c r="G1386" s="39">
        <v>0</v>
      </c>
      <c r="H1386" s="37">
        <v>18000</v>
      </c>
      <c r="I1386" s="37">
        <v>56</v>
      </c>
      <c r="J1386" s="284">
        <v>1</v>
      </c>
      <c r="K1386" s="40">
        <v>2014</v>
      </c>
      <c r="L1386" s="40">
        <v>11</v>
      </c>
      <c r="M1386" s="40">
        <v>30</v>
      </c>
      <c r="N1386" s="37"/>
    </row>
    <row r="1387" spans="1:14">
      <c r="A1387" s="26">
        <v>560203</v>
      </c>
      <c r="B1387" s="27">
        <v>4</v>
      </c>
      <c r="C1387" s="26" t="s">
        <v>166</v>
      </c>
      <c r="D1387" s="27" t="s">
        <v>169</v>
      </c>
      <c r="G1387" s="28">
        <v>1782</v>
      </c>
      <c r="H1387" s="26">
        <v>0</v>
      </c>
      <c r="I1387" s="26">
        <v>57</v>
      </c>
      <c r="J1387" s="36">
        <v>6</v>
      </c>
      <c r="K1387" s="34">
        <v>2014</v>
      </c>
      <c r="L1387" s="34">
        <v>11</v>
      </c>
      <c r="M1387" s="34">
        <v>30</v>
      </c>
      <c r="N1387" s="26"/>
    </row>
    <row r="1388" spans="1:14">
      <c r="A1388" s="26">
        <v>560209</v>
      </c>
      <c r="B1388" s="27">
        <v>4</v>
      </c>
      <c r="C1388" s="26" t="s">
        <v>166</v>
      </c>
      <c r="D1388" s="27" t="s">
        <v>175</v>
      </c>
      <c r="G1388" s="28">
        <v>460</v>
      </c>
      <c r="H1388" s="26">
        <v>0</v>
      </c>
      <c r="I1388" s="26">
        <v>57</v>
      </c>
      <c r="J1388" s="36">
        <v>6</v>
      </c>
      <c r="K1388" s="34">
        <v>2014</v>
      </c>
      <c r="L1388" s="34">
        <v>11</v>
      </c>
      <c r="M1388" s="34">
        <v>30</v>
      </c>
      <c r="N1388" s="26"/>
    </row>
    <row r="1389" spans="1:14">
      <c r="A1389" s="26">
        <v>560206</v>
      </c>
      <c r="B1389" s="27">
        <v>4</v>
      </c>
      <c r="C1389" s="26" t="s">
        <v>166</v>
      </c>
      <c r="D1389" s="27" t="s">
        <v>172</v>
      </c>
      <c r="G1389" s="28">
        <v>262</v>
      </c>
      <c r="H1389" s="26">
        <v>0</v>
      </c>
      <c r="I1389" s="26">
        <v>57</v>
      </c>
      <c r="J1389" s="36">
        <v>6</v>
      </c>
      <c r="K1389" s="34">
        <v>2014</v>
      </c>
      <c r="L1389" s="34">
        <v>11</v>
      </c>
      <c r="M1389" s="34">
        <v>30</v>
      </c>
      <c r="N1389" s="26"/>
    </row>
    <row r="1390" spans="1:14">
      <c r="A1390" s="37">
        <v>100101</v>
      </c>
      <c r="B1390" s="27">
        <v>4</v>
      </c>
      <c r="C1390" s="37" t="s">
        <v>46</v>
      </c>
      <c r="D1390" s="38" t="s">
        <v>14</v>
      </c>
      <c r="E1390" s="37"/>
      <c r="F1390" s="37"/>
      <c r="G1390" s="39">
        <v>0</v>
      </c>
      <c r="H1390" s="37">
        <v>2504</v>
      </c>
      <c r="I1390" s="37">
        <v>57</v>
      </c>
      <c r="J1390" s="284">
        <v>6</v>
      </c>
      <c r="K1390" s="40">
        <v>2014</v>
      </c>
      <c r="L1390" s="40">
        <v>11</v>
      </c>
      <c r="M1390" s="40">
        <v>30</v>
      </c>
      <c r="N1390" s="37"/>
    </row>
    <row r="1391" spans="1:14">
      <c r="A1391" s="26">
        <v>221112</v>
      </c>
      <c r="B1391" s="27" t="s">
        <v>1027</v>
      </c>
      <c r="C1391" s="26" t="s">
        <v>113</v>
      </c>
      <c r="D1391" s="27" t="s">
        <v>125</v>
      </c>
      <c r="G1391" s="28">
        <v>5000</v>
      </c>
      <c r="H1391" s="26">
        <v>0</v>
      </c>
      <c r="I1391" s="26">
        <v>58</v>
      </c>
      <c r="J1391" s="36">
        <v>1</v>
      </c>
      <c r="K1391" s="34">
        <v>2014</v>
      </c>
      <c r="L1391" s="34">
        <v>11</v>
      </c>
      <c r="M1391" s="34">
        <v>30</v>
      </c>
      <c r="N1391" s="26"/>
    </row>
    <row r="1392" spans="1:14">
      <c r="A1392" s="26">
        <v>100101</v>
      </c>
      <c r="B1392" s="27" t="s">
        <v>1027</v>
      </c>
      <c r="C1392" s="26" t="s">
        <v>46</v>
      </c>
      <c r="D1392" s="27" t="s">
        <v>14</v>
      </c>
      <c r="G1392" s="28">
        <v>0</v>
      </c>
      <c r="H1392" s="26">
        <v>5000</v>
      </c>
      <c r="I1392" s="26">
        <v>58</v>
      </c>
      <c r="J1392" s="36">
        <v>1</v>
      </c>
      <c r="K1392" s="34">
        <v>2014</v>
      </c>
      <c r="L1392" s="34">
        <v>11</v>
      </c>
      <c r="M1392" s="34">
        <v>30</v>
      </c>
      <c r="N1392" s="26"/>
    </row>
    <row r="1393" spans="1:14">
      <c r="A1393" s="26">
        <v>440109</v>
      </c>
      <c r="B1393" s="27" t="s">
        <v>1028</v>
      </c>
      <c r="C1393" s="26" t="s">
        <v>149</v>
      </c>
      <c r="D1393" s="27" t="s">
        <v>125</v>
      </c>
      <c r="G1393" s="28">
        <v>5000</v>
      </c>
      <c r="H1393" s="26">
        <v>0</v>
      </c>
      <c r="I1393" s="26">
        <v>58</v>
      </c>
      <c r="J1393" s="36">
        <v>1</v>
      </c>
      <c r="K1393" s="34">
        <v>2014</v>
      </c>
      <c r="L1393" s="34">
        <v>11</v>
      </c>
      <c r="M1393" s="34">
        <v>30</v>
      </c>
      <c r="N1393" s="26"/>
    </row>
    <row r="1394" spans="1:14">
      <c r="A1394" s="37">
        <v>440106</v>
      </c>
      <c r="B1394" s="38" t="s">
        <v>1028</v>
      </c>
      <c r="C1394" s="37" t="s">
        <v>149</v>
      </c>
      <c r="D1394" s="38" t="s">
        <v>155</v>
      </c>
      <c r="E1394" s="37"/>
      <c r="F1394" s="37"/>
      <c r="G1394" s="39">
        <v>0</v>
      </c>
      <c r="H1394" s="37">
        <v>5000</v>
      </c>
      <c r="I1394" s="37">
        <v>58</v>
      </c>
      <c r="J1394" s="284">
        <v>1</v>
      </c>
      <c r="K1394" s="40">
        <v>2014</v>
      </c>
      <c r="L1394" s="40">
        <v>11</v>
      </c>
      <c r="M1394" s="40">
        <v>30</v>
      </c>
      <c r="N1394" s="37"/>
    </row>
    <row r="1395" spans="1:14">
      <c r="A1395" s="26">
        <v>560301</v>
      </c>
      <c r="B1395" s="27" t="s">
        <v>1029</v>
      </c>
      <c r="C1395" s="26" t="s">
        <v>177</v>
      </c>
      <c r="D1395" s="27" t="s">
        <v>178</v>
      </c>
      <c r="G1395" s="28">
        <v>15</v>
      </c>
      <c r="H1395" s="26">
        <v>0</v>
      </c>
      <c r="I1395" s="26">
        <v>59</v>
      </c>
      <c r="J1395" s="36">
        <v>1</v>
      </c>
      <c r="K1395" s="34">
        <v>2014</v>
      </c>
      <c r="L1395" s="34">
        <v>11</v>
      </c>
      <c r="M1395" s="34">
        <v>30</v>
      </c>
      <c r="N1395" s="26"/>
    </row>
    <row r="1396" spans="1:14">
      <c r="A1396" s="37">
        <v>100201</v>
      </c>
      <c r="B1396" s="38" t="s">
        <v>1029</v>
      </c>
      <c r="C1396" s="37" t="s">
        <v>47</v>
      </c>
      <c r="D1396" s="38" t="s">
        <v>48</v>
      </c>
      <c r="E1396" s="37"/>
      <c r="F1396" s="37"/>
      <c r="G1396" s="39">
        <v>0</v>
      </c>
      <c r="H1396" s="37">
        <v>15</v>
      </c>
      <c r="I1396" s="37">
        <v>59</v>
      </c>
      <c r="J1396" s="284">
        <v>1</v>
      </c>
      <c r="K1396" s="40">
        <v>2014</v>
      </c>
      <c r="L1396" s="40">
        <v>11</v>
      </c>
      <c r="M1396" s="40">
        <v>30</v>
      </c>
      <c r="N1396" s="37"/>
    </row>
    <row r="1397" spans="1:14">
      <c r="A1397" s="26">
        <v>100201</v>
      </c>
      <c r="B1397" s="27" t="s">
        <v>1030</v>
      </c>
      <c r="C1397" s="26" t="s">
        <v>47</v>
      </c>
      <c r="D1397" s="27" t="s">
        <v>48</v>
      </c>
      <c r="G1397" s="28">
        <v>1000</v>
      </c>
      <c r="H1397" s="26">
        <v>0</v>
      </c>
      <c r="I1397" s="26">
        <v>60</v>
      </c>
      <c r="J1397" s="36">
        <v>1</v>
      </c>
      <c r="K1397" s="34">
        <v>2014</v>
      </c>
      <c r="L1397" s="34">
        <v>11</v>
      </c>
      <c r="M1397" s="34">
        <v>30</v>
      </c>
      <c r="N1397" s="26"/>
    </row>
    <row r="1398" spans="1:14">
      <c r="A1398" s="37">
        <v>100101</v>
      </c>
      <c r="B1398" s="38" t="s">
        <v>1030</v>
      </c>
      <c r="C1398" s="37" t="s">
        <v>46</v>
      </c>
      <c r="D1398" s="38" t="s">
        <v>14</v>
      </c>
      <c r="E1398" s="37"/>
      <c r="F1398" s="37"/>
      <c r="G1398" s="39">
        <v>0</v>
      </c>
      <c r="H1398" s="37">
        <v>1000</v>
      </c>
      <c r="I1398" s="37">
        <v>60</v>
      </c>
      <c r="J1398" s="284">
        <v>1</v>
      </c>
      <c r="K1398" s="40">
        <v>2014</v>
      </c>
      <c r="L1398" s="40">
        <v>11</v>
      </c>
      <c r="M1398" s="40">
        <v>30</v>
      </c>
      <c r="N1398" s="37"/>
    </row>
    <row r="1399" spans="1:14">
      <c r="A1399" s="26">
        <v>112318</v>
      </c>
      <c r="B1399" s="27">
        <v>6</v>
      </c>
      <c r="C1399" s="26" t="s">
        <v>64</v>
      </c>
      <c r="D1399" s="27" t="s">
        <v>77</v>
      </c>
      <c r="G1399" s="28">
        <v>50</v>
      </c>
      <c r="H1399" s="26">
        <v>0</v>
      </c>
      <c r="I1399" s="26">
        <v>61</v>
      </c>
      <c r="J1399" s="36">
        <v>1</v>
      </c>
      <c r="K1399" s="34">
        <v>2014</v>
      </c>
      <c r="L1399" s="34">
        <v>11</v>
      </c>
      <c r="M1399" s="34">
        <v>30</v>
      </c>
      <c r="N1399" s="26"/>
    </row>
    <row r="1400" spans="1:14">
      <c r="A1400" s="37">
        <v>100101</v>
      </c>
      <c r="B1400" s="38">
        <v>3</v>
      </c>
      <c r="C1400" s="37" t="s">
        <v>46</v>
      </c>
      <c r="D1400" s="38" t="s">
        <v>14</v>
      </c>
      <c r="E1400" s="37"/>
      <c r="F1400" s="37"/>
      <c r="G1400" s="39">
        <v>0</v>
      </c>
      <c r="H1400" s="37">
        <v>50</v>
      </c>
      <c r="I1400" s="37">
        <v>61</v>
      </c>
      <c r="J1400" s="284">
        <v>1</v>
      </c>
      <c r="K1400" s="40">
        <v>2014</v>
      </c>
      <c r="L1400" s="40">
        <v>11</v>
      </c>
      <c r="M1400" s="40">
        <v>30</v>
      </c>
      <c r="N1400" s="37"/>
    </row>
  </sheetData>
  <pageMargins left="0.699305555555556" right="0.699305555555556" top="0.75" bottom="0.75" header="0.3" footer="0.3"/>
  <pageSetup paperSize="9" orientation="portrait" horizontalDpi="180" verticalDpi="180"/>
  <headerFooter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J48"/>
  <sheetViews>
    <sheetView workbookViewId="0">
      <selection activeCell="L7" sqref="L7"/>
    </sheetView>
  </sheetViews>
  <sheetFormatPr defaultColWidth="9" defaultRowHeight="16.5" customHeight="1"/>
  <cols>
    <col min="1" max="1" width="5.37142857142857" style="256" customWidth="1"/>
    <col min="2" max="2" width="17.247619047619" style="256" customWidth="1"/>
    <col min="3" max="3" width="3.24761904761905" style="259" customWidth="1"/>
    <col min="4" max="4" width="14.6285714285714" style="256" customWidth="1"/>
    <col min="5" max="5" width="14.247619047619" style="256" customWidth="1"/>
    <col min="6" max="6" width="15.8761904761905" style="256" customWidth="1"/>
    <col min="7" max="7" width="3.37142857142857" style="259" customWidth="1"/>
    <col min="8" max="9" width="14.247619047619" style="256" customWidth="1"/>
    <col min="10" max="10" width="3.87619047619048" style="256" customWidth="1"/>
    <col min="11" max="16384" width="9" style="256"/>
  </cols>
  <sheetData>
    <row r="1" customHeight="1" spans="2:5">
      <c r="B1" s="260" t="s">
        <v>1031</v>
      </c>
      <c r="C1" s="261">
        <f>单位信息!B2</f>
        <v>2014</v>
      </c>
      <c r="D1" s="261"/>
      <c r="E1" s="262">
        <v>11</v>
      </c>
    </row>
    <row r="2" ht="22.5" customHeight="1" spans="2:9">
      <c r="B2" s="263" t="s">
        <v>1032</v>
      </c>
      <c r="C2" s="263"/>
      <c r="D2" s="263"/>
      <c r="E2" s="263"/>
      <c r="F2" s="263"/>
      <c r="G2" s="263"/>
      <c r="H2" s="263"/>
      <c r="I2" s="263"/>
    </row>
    <row r="3" ht="17.25" customHeight="1" spans="2:8">
      <c r="B3" s="264" t="str">
        <f>"编制单位："&amp;单位信息!B5</f>
        <v>编制单位：镇江华军电梯有限公司</v>
      </c>
      <c r="C3" s="264"/>
      <c r="D3" s="264"/>
      <c r="E3" s="264"/>
      <c r="F3" s="265" t="str">
        <f>C1&amp;"年 "&amp;E1&amp;" 月"</f>
        <v>2014年 11 月</v>
      </c>
      <c r="G3" s="266"/>
      <c r="H3" s="267"/>
    </row>
    <row r="4" customHeight="1" spans="2:9">
      <c r="B4" s="264" t="str">
        <f>"税务凳记号："&amp;单位信息!B12</f>
        <v>税务凳记号：321100586661024</v>
      </c>
      <c r="C4" s="264"/>
      <c r="D4" s="264"/>
      <c r="E4" s="264"/>
      <c r="F4" s="265"/>
      <c r="G4" s="268"/>
      <c r="H4" s="269"/>
      <c r="I4" s="267" t="s">
        <v>1033</v>
      </c>
    </row>
    <row r="5" ht="18.75" customHeight="1" spans="2:10">
      <c r="B5" s="270" t="s">
        <v>1034</v>
      </c>
      <c r="C5" s="271" t="s">
        <v>1035</v>
      </c>
      <c r="D5" s="270" t="s">
        <v>43</v>
      </c>
      <c r="E5" s="270" t="s">
        <v>1036</v>
      </c>
      <c r="F5" s="270" t="s">
        <v>1034</v>
      </c>
      <c r="G5" s="271" t="s">
        <v>1035</v>
      </c>
      <c r="H5" s="270" t="s">
        <v>43</v>
      </c>
      <c r="I5" s="270" t="s">
        <v>1036</v>
      </c>
      <c r="J5" s="260"/>
    </row>
    <row r="6" customHeight="1" spans="1:9">
      <c r="A6" s="272"/>
      <c r="B6" s="273" t="s">
        <v>1037</v>
      </c>
      <c r="C6" s="274">
        <v>1</v>
      </c>
      <c r="D6" s="275"/>
      <c r="E6" s="275"/>
      <c r="F6" s="273" t="s">
        <v>1038</v>
      </c>
      <c r="G6" s="274"/>
      <c r="H6" s="276"/>
      <c r="I6" s="276"/>
    </row>
    <row r="7" customHeight="1" spans="1:9">
      <c r="A7" s="272"/>
      <c r="B7" s="277" t="s">
        <v>1039</v>
      </c>
      <c r="C7" s="274">
        <v>1</v>
      </c>
      <c r="D7" s="276">
        <v>336133</v>
      </c>
      <c r="E7" s="276">
        <v>91139.9900000002</v>
      </c>
      <c r="F7" s="277" t="s">
        <v>1040</v>
      </c>
      <c r="G7" s="274">
        <v>31</v>
      </c>
      <c r="H7" s="276">
        <v>0</v>
      </c>
      <c r="I7" s="276">
        <v>0</v>
      </c>
    </row>
    <row r="8" customHeight="1" spans="1:9">
      <c r="A8" s="272"/>
      <c r="B8" s="277" t="s">
        <v>1041</v>
      </c>
      <c r="C8" s="274">
        <v>2</v>
      </c>
      <c r="D8" s="276"/>
      <c r="E8" s="276"/>
      <c r="F8" s="277" t="s">
        <v>1042</v>
      </c>
      <c r="G8" s="274">
        <v>32</v>
      </c>
      <c r="H8" s="276"/>
      <c r="I8" s="276"/>
    </row>
    <row r="9" customHeight="1" spans="1:9">
      <c r="A9" s="272"/>
      <c r="B9" s="277" t="s">
        <v>1043</v>
      </c>
      <c r="C9" s="274">
        <v>3</v>
      </c>
      <c r="D9" s="276"/>
      <c r="E9" s="276"/>
      <c r="F9" s="277" t="s">
        <v>102</v>
      </c>
      <c r="G9" s="274">
        <v>33</v>
      </c>
      <c r="H9" s="276">
        <v>0</v>
      </c>
      <c r="I9" s="276">
        <v>0</v>
      </c>
    </row>
    <row r="10" customHeight="1" spans="2:9">
      <c r="B10" s="277" t="s">
        <v>49</v>
      </c>
      <c r="C10" s="274">
        <v>4</v>
      </c>
      <c r="D10" s="276">
        <v>227060</v>
      </c>
      <c r="E10" s="276">
        <v>554918</v>
      </c>
      <c r="F10" s="277" t="s">
        <v>107</v>
      </c>
      <c r="G10" s="274">
        <v>34</v>
      </c>
      <c r="H10" s="276">
        <v>616000</v>
      </c>
      <c r="I10" s="276">
        <v>566000</v>
      </c>
    </row>
    <row r="11" customHeight="1" spans="2:9">
      <c r="B11" s="277" t="s">
        <v>1044</v>
      </c>
      <c r="C11" s="274">
        <v>5</v>
      </c>
      <c r="D11" s="276">
        <v>-94460</v>
      </c>
      <c r="E11" s="276">
        <v>50</v>
      </c>
      <c r="F11" s="277" t="s">
        <v>113</v>
      </c>
      <c r="G11" s="274">
        <v>35</v>
      </c>
      <c r="H11" s="276">
        <v>70320.62</v>
      </c>
      <c r="I11" s="276">
        <v>46884.7299999999</v>
      </c>
    </row>
    <row r="12" customHeight="1" spans="2:9">
      <c r="B12" s="277" t="s">
        <v>1045</v>
      </c>
      <c r="C12" s="274">
        <v>6</v>
      </c>
      <c r="D12" s="276"/>
      <c r="E12" s="276">
        <v>0</v>
      </c>
      <c r="F12" s="277" t="s">
        <v>126</v>
      </c>
      <c r="G12" s="274">
        <v>36</v>
      </c>
      <c r="H12" s="276">
        <v>-24374.1</v>
      </c>
      <c r="I12" s="276">
        <v>-698.809999999998</v>
      </c>
    </row>
    <row r="13" customHeight="1" spans="2:9">
      <c r="B13" s="277" t="s">
        <v>1046</v>
      </c>
      <c r="C13" s="274">
        <v>7</v>
      </c>
      <c r="D13" s="276"/>
      <c r="E13" s="276">
        <v>0</v>
      </c>
      <c r="F13" s="277" t="s">
        <v>1047</v>
      </c>
      <c r="G13" s="274">
        <v>37</v>
      </c>
      <c r="H13" s="276"/>
      <c r="I13" s="276"/>
    </row>
    <row r="14" customHeight="1" spans="2:9">
      <c r="B14" s="277" t="s">
        <v>78</v>
      </c>
      <c r="C14" s="274">
        <v>8</v>
      </c>
      <c r="D14" s="276">
        <v>948300</v>
      </c>
      <c r="E14" s="276">
        <v>991979.56</v>
      </c>
      <c r="F14" s="278" t="s">
        <v>1048</v>
      </c>
      <c r="G14" s="274">
        <v>38</v>
      </c>
      <c r="H14" s="276"/>
      <c r="I14" s="276"/>
    </row>
    <row r="15" customHeight="1" spans="2:9">
      <c r="B15" s="277" t="s">
        <v>1049</v>
      </c>
      <c r="C15" s="274">
        <v>9</v>
      </c>
      <c r="D15" s="276">
        <f>D16+D17+D18+D19</f>
        <v>356898.97</v>
      </c>
      <c r="E15" s="276">
        <f>E16+E17+E18+E19</f>
        <v>146816.03</v>
      </c>
      <c r="F15" s="277" t="s">
        <v>140</v>
      </c>
      <c r="G15" s="274">
        <v>39</v>
      </c>
      <c r="H15" s="276">
        <v>-47778.36</v>
      </c>
      <c r="I15" s="276">
        <v>-9.83000000008906</v>
      </c>
    </row>
    <row r="16" customHeight="1" spans="2:9">
      <c r="B16" s="277" t="s">
        <v>1050</v>
      </c>
      <c r="C16" s="274">
        <v>10</v>
      </c>
      <c r="D16" s="276">
        <v>0</v>
      </c>
      <c r="E16" s="276">
        <v>-958</v>
      </c>
      <c r="F16" s="277" t="s">
        <v>1051</v>
      </c>
      <c r="G16" s="274">
        <v>40</v>
      </c>
      <c r="H16" s="276"/>
      <c r="I16" s="276"/>
    </row>
    <row r="17" customHeight="1" spans="2:9">
      <c r="B17" s="277" t="s">
        <v>1052</v>
      </c>
      <c r="C17" s="274">
        <v>11</v>
      </c>
      <c r="D17" s="276">
        <v>151740</v>
      </c>
      <c r="E17" s="276">
        <v>64234.52</v>
      </c>
      <c r="F17" s="279" t="s">
        <v>1053</v>
      </c>
      <c r="G17" s="274">
        <v>41</v>
      </c>
      <c r="H17" s="276">
        <f>SUM(H7:H16)</f>
        <v>614168.16</v>
      </c>
      <c r="I17" s="276">
        <f>SUM(I7:I16)</f>
        <v>612176.09</v>
      </c>
    </row>
    <row r="18" customHeight="1" spans="2:9">
      <c r="B18" s="277" t="s">
        <v>1054</v>
      </c>
      <c r="C18" s="274">
        <v>12</v>
      </c>
      <c r="D18" s="276">
        <v>205158.97</v>
      </c>
      <c r="E18" s="276">
        <v>83539.51</v>
      </c>
      <c r="F18" s="279" t="s">
        <v>1055</v>
      </c>
      <c r="G18" s="274"/>
      <c r="H18" s="276"/>
      <c r="I18" s="276"/>
    </row>
    <row r="19" customHeight="1" spans="2:9">
      <c r="B19" s="277" t="s">
        <v>1056</v>
      </c>
      <c r="C19" s="274">
        <v>13</v>
      </c>
      <c r="D19" s="276">
        <v>0</v>
      </c>
      <c r="E19" s="276">
        <v>0</v>
      </c>
      <c r="F19" s="277" t="s">
        <v>1057</v>
      </c>
      <c r="G19" s="274">
        <v>42</v>
      </c>
      <c r="H19" s="276"/>
      <c r="I19" s="276"/>
    </row>
    <row r="20" customHeight="1" spans="1:9">
      <c r="A20" s="272"/>
      <c r="B20" s="277" t="s">
        <v>1058</v>
      </c>
      <c r="C20" s="274">
        <v>14</v>
      </c>
      <c r="D20" s="276"/>
      <c r="E20" s="276"/>
      <c r="F20" s="277" t="s">
        <v>1059</v>
      </c>
      <c r="G20" s="274">
        <v>43</v>
      </c>
      <c r="H20" s="276"/>
      <c r="I20" s="276"/>
    </row>
    <row r="21" customHeight="1" spans="2:9">
      <c r="B21" s="273" t="s">
        <v>1060</v>
      </c>
      <c r="C21" s="274">
        <v>15</v>
      </c>
      <c r="D21" s="276">
        <f>SUM(D7:D15,D20)</f>
        <v>1773931.97</v>
      </c>
      <c r="E21" s="276">
        <f>SUM(E7:E15,E20)</f>
        <v>1784903.58</v>
      </c>
      <c r="F21" s="280" t="s">
        <v>1061</v>
      </c>
      <c r="G21" s="274">
        <v>44</v>
      </c>
      <c r="H21" s="276"/>
      <c r="I21" s="276"/>
    </row>
    <row r="22" customHeight="1" spans="2:9">
      <c r="B22" s="273" t="s">
        <v>1062</v>
      </c>
      <c r="C22" s="274"/>
      <c r="D22" s="276"/>
      <c r="E22" s="276"/>
      <c r="F22" s="277" t="s">
        <v>1063</v>
      </c>
      <c r="G22" s="274">
        <v>45</v>
      </c>
      <c r="H22" s="276"/>
      <c r="I22" s="276"/>
    </row>
    <row r="23" customHeight="1" spans="2:9">
      <c r="B23" s="278" t="s">
        <v>1064</v>
      </c>
      <c r="C23" s="274">
        <v>16</v>
      </c>
      <c r="D23" s="276"/>
      <c r="E23" s="276"/>
      <c r="F23" s="270" t="s">
        <v>1065</v>
      </c>
      <c r="G23" s="274">
        <v>46</v>
      </c>
      <c r="H23" s="276"/>
      <c r="I23" s="276"/>
    </row>
    <row r="24" customHeight="1" spans="2:9">
      <c r="B24" s="277" t="s">
        <v>1066</v>
      </c>
      <c r="C24" s="274">
        <v>17</v>
      </c>
      <c r="D24" s="276"/>
      <c r="E24" s="276"/>
      <c r="F24" s="270" t="s">
        <v>1067</v>
      </c>
      <c r="G24" s="274">
        <v>47</v>
      </c>
      <c r="H24" s="276">
        <f>H17+H23</f>
        <v>614168.16</v>
      </c>
      <c r="I24" s="276">
        <f>I17+I23</f>
        <v>612176.09</v>
      </c>
    </row>
    <row r="25" customHeight="1" spans="2:9">
      <c r="B25" s="277" t="s">
        <v>1068</v>
      </c>
      <c r="C25" s="274">
        <v>18</v>
      </c>
      <c r="D25" s="276">
        <v>22026</v>
      </c>
      <c r="E25" s="276">
        <v>24243.99</v>
      </c>
      <c r="F25" s="278"/>
      <c r="G25" s="274"/>
      <c r="H25" s="276"/>
      <c r="I25" s="276"/>
    </row>
    <row r="26" customHeight="1" spans="2:9">
      <c r="B26" s="277" t="s">
        <v>1069</v>
      </c>
      <c r="C26" s="274">
        <v>19</v>
      </c>
      <c r="D26" s="276">
        <v>-5583.56</v>
      </c>
      <c r="E26" s="276">
        <v>-10467.57</v>
      </c>
      <c r="F26" s="277"/>
      <c r="G26" s="274"/>
      <c r="H26" s="276"/>
      <c r="I26" s="276"/>
    </row>
    <row r="27" customHeight="1" spans="2:9">
      <c r="B27" s="277" t="s">
        <v>1070</v>
      </c>
      <c r="C27" s="274">
        <v>20</v>
      </c>
      <c r="D27" s="276">
        <f>D25+D26</f>
        <v>16442.44</v>
      </c>
      <c r="E27" s="276">
        <f>E25+E26</f>
        <v>13776.42</v>
      </c>
      <c r="F27" s="278"/>
      <c r="G27" s="274"/>
      <c r="H27" s="276"/>
      <c r="I27" s="276"/>
    </row>
    <row r="28" customHeight="1" spans="2:9">
      <c r="B28" s="277" t="s">
        <v>1071</v>
      </c>
      <c r="C28" s="274">
        <v>21</v>
      </c>
      <c r="D28" s="276">
        <v>0</v>
      </c>
      <c r="E28" s="276">
        <v>0</v>
      </c>
      <c r="F28" s="277"/>
      <c r="G28" s="274"/>
      <c r="H28" s="276"/>
      <c r="I28" s="276"/>
    </row>
    <row r="29" customHeight="1" spans="2:9">
      <c r="B29" s="277" t="s">
        <v>1072</v>
      </c>
      <c r="C29" s="274">
        <v>22</v>
      </c>
      <c r="D29" s="276"/>
      <c r="E29" s="276"/>
      <c r="F29" s="277"/>
      <c r="G29" s="274"/>
      <c r="H29" s="276"/>
      <c r="I29" s="276"/>
    </row>
    <row r="30" customHeight="1" spans="2:9">
      <c r="B30" s="277" t="s">
        <v>1073</v>
      </c>
      <c r="C30" s="274">
        <v>23</v>
      </c>
      <c r="D30" s="276">
        <v>0</v>
      </c>
      <c r="E30" s="276">
        <v>0</v>
      </c>
      <c r="F30" s="277"/>
      <c r="G30" s="274"/>
      <c r="H30" s="276"/>
      <c r="I30" s="276"/>
    </row>
    <row r="31" customHeight="1" spans="2:9">
      <c r="B31" s="277" t="s">
        <v>1074</v>
      </c>
      <c r="C31" s="274">
        <v>24</v>
      </c>
      <c r="D31" s="276"/>
      <c r="E31" s="276"/>
      <c r="F31" s="277" t="s">
        <v>1075</v>
      </c>
      <c r="G31" s="281"/>
      <c r="H31" s="276"/>
      <c r="I31" s="276"/>
    </row>
    <row r="32" customHeight="1" spans="2:9">
      <c r="B32" s="277" t="s">
        <v>1076</v>
      </c>
      <c r="C32" s="274">
        <v>25</v>
      </c>
      <c r="D32" s="276"/>
      <c r="E32" s="276"/>
      <c r="F32" s="277" t="s">
        <v>144</v>
      </c>
      <c r="G32" s="274">
        <v>48</v>
      </c>
      <c r="H32" s="276">
        <v>1500000</v>
      </c>
      <c r="I32" s="276">
        <v>1500000</v>
      </c>
    </row>
    <row r="33" customHeight="1" spans="2:9">
      <c r="B33" s="277" t="s">
        <v>1077</v>
      </c>
      <c r="C33" s="274">
        <v>26</v>
      </c>
      <c r="D33" s="276"/>
      <c r="E33" s="276"/>
      <c r="F33" s="277" t="s">
        <v>1078</v>
      </c>
      <c r="G33" s="274">
        <v>49</v>
      </c>
      <c r="H33" s="276">
        <v>0</v>
      </c>
      <c r="I33" s="276">
        <v>0</v>
      </c>
    </row>
    <row r="34" customHeight="1" spans="2:9">
      <c r="B34" s="277" t="s">
        <v>1079</v>
      </c>
      <c r="C34" s="274">
        <v>27</v>
      </c>
      <c r="D34" s="276">
        <v>451.46</v>
      </c>
      <c r="E34" s="276">
        <v>5.11590769747272e-13</v>
      </c>
      <c r="F34" s="277" t="s">
        <v>1080</v>
      </c>
      <c r="G34" s="274">
        <v>50</v>
      </c>
      <c r="H34" s="276">
        <v>0</v>
      </c>
      <c r="I34" s="276">
        <v>0</v>
      </c>
    </row>
    <row r="35" customHeight="1" spans="2:9">
      <c r="B35" s="277" t="s">
        <v>1081</v>
      </c>
      <c r="C35" s="274">
        <v>28</v>
      </c>
      <c r="D35" s="276">
        <v>0</v>
      </c>
      <c r="E35" s="276">
        <v>0</v>
      </c>
      <c r="F35" s="277" t="s">
        <v>148</v>
      </c>
      <c r="G35" s="274">
        <v>51</v>
      </c>
      <c r="H35" s="276">
        <v>-323342.29</v>
      </c>
      <c r="I35" s="276">
        <f>H35+损益表!C36</f>
        <v>-313496.09</v>
      </c>
    </row>
    <row r="36" customHeight="1" spans="2:9">
      <c r="B36" s="279" t="s">
        <v>1082</v>
      </c>
      <c r="C36" s="274">
        <v>29</v>
      </c>
      <c r="D36" s="276">
        <f>SUM(D27:D35)</f>
        <v>16893.9</v>
      </c>
      <c r="E36" s="276">
        <f>SUM(E27:E35)</f>
        <v>13776.42</v>
      </c>
      <c r="F36" s="279" t="s">
        <v>1083</v>
      </c>
      <c r="G36" s="274">
        <v>52</v>
      </c>
      <c r="H36" s="276">
        <f>SUM(H32:H35)</f>
        <v>1176657.71</v>
      </c>
      <c r="I36" s="276">
        <f>SUM(I32:I35)</f>
        <v>1186503.91</v>
      </c>
    </row>
    <row r="37" ht="20.25" customHeight="1" spans="2:9">
      <c r="B37" s="270" t="s">
        <v>1084</v>
      </c>
      <c r="C37" s="274">
        <v>30</v>
      </c>
      <c r="D37" s="276">
        <f>D21+D36</f>
        <v>1790825.87</v>
      </c>
      <c r="E37" s="276">
        <f>ROUND(E21+E36,2)</f>
        <v>1798680</v>
      </c>
      <c r="F37" s="279" t="s">
        <v>1085</v>
      </c>
      <c r="G37" s="274">
        <v>53</v>
      </c>
      <c r="H37" s="276">
        <f>H24+H36</f>
        <v>1790825.87</v>
      </c>
      <c r="I37" s="276">
        <f>ROUND(I24+I36,2)</f>
        <v>1798680</v>
      </c>
    </row>
    <row r="38" customHeight="1" spans="2:6">
      <c r="B38" s="282" t="s">
        <v>1086</v>
      </c>
      <c r="F38" s="256" t="s">
        <v>1087</v>
      </c>
    </row>
    <row r="39" customHeight="1" spans="2:9">
      <c r="B39" s="282"/>
      <c r="H39" s="256">
        <f>D37-H37</f>
        <v>0</v>
      </c>
      <c r="I39" s="283">
        <f>E37-I37</f>
        <v>0</v>
      </c>
    </row>
    <row r="40" customHeight="1" spans="2:2">
      <c r="B40" s="282"/>
    </row>
    <row r="41" customHeight="1" spans="2:9">
      <c r="B41" s="282"/>
      <c r="I41" s="256">
        <v>1803695</v>
      </c>
    </row>
    <row r="42" customHeight="1" spans="2:2">
      <c r="B42" s="282"/>
    </row>
    <row r="43" customHeight="1" spans="2:2">
      <c r="B43" s="282"/>
    </row>
    <row r="44" customHeight="1" spans="2:2">
      <c r="B44" s="282"/>
    </row>
    <row r="45" customHeight="1" spans="2:2">
      <c r="B45" s="282"/>
    </row>
    <row r="46" customHeight="1" spans="2:2">
      <c r="B46" s="282"/>
    </row>
    <row r="47" customHeight="1" spans="2:2">
      <c r="B47" s="282"/>
    </row>
    <row r="48" customHeight="1" spans="2:2">
      <c r="B48" s="282"/>
    </row>
  </sheetData>
  <mergeCells count="4">
    <mergeCell ref="C1:D1"/>
    <mergeCell ref="B2:I2"/>
    <mergeCell ref="B3:E3"/>
    <mergeCell ref="B4:E4"/>
  </mergeCells>
  <conditionalFormatting sqref="H37">
    <cfRule type="expression" dxfId="11" priority="3">
      <formula>$H$37&lt;&gt;$D$37</formula>
    </cfRule>
  </conditionalFormatting>
  <conditionalFormatting sqref="I37">
    <cfRule type="expression" dxfId="11" priority="2">
      <formula>$E$37&lt;&gt;$I$37</formula>
    </cfRule>
  </conditionalFormatting>
  <pageMargins left="0.314583333333333" right="0.314583333333333" top="0.747916666666667" bottom="0.550694444444444" header="0.314583333333333" footer="0.314583333333333"/>
  <pageSetup paperSize="9" orientation="portrait" horizontalDpi="180" verticalDpi="18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name="Button 1" r:id="rId3">
              <controlPr print="0" defaultSize="0">
                <anchor moveWithCells="1">
                  <from>
                    <xdr:col>7</xdr:col>
                    <xdr:colOff>762000</xdr:colOff>
                    <xdr:row>0</xdr:row>
                    <xdr:rowOff>28575</xdr:rowOff>
                  </from>
                  <to>
                    <xdr:col>8</xdr:col>
                    <xdr:colOff>933450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F36"/>
  <sheetViews>
    <sheetView workbookViewId="0">
      <selection activeCell="D8" sqref="D8"/>
    </sheetView>
  </sheetViews>
  <sheetFormatPr defaultColWidth="9" defaultRowHeight="19.5" customHeight="1" outlineLevelCol="5"/>
  <cols>
    <col min="1" max="1" width="39.5047619047619" customWidth="1"/>
    <col min="2" max="2" width="23.247619047619" customWidth="1"/>
    <col min="3" max="3" width="23.752380952381" customWidth="1"/>
  </cols>
  <sheetData>
    <row r="1" customHeight="1" spans="1:3">
      <c r="A1" s="249" t="s">
        <v>1088</v>
      </c>
      <c r="B1" s="249"/>
      <c r="C1" s="249"/>
    </row>
    <row r="2" customHeight="1" spans="1:3">
      <c r="A2" s="250" t="str">
        <f>资产负债表!B3</f>
        <v>编制单位：镇江华军电梯有限公司</v>
      </c>
      <c r="B2" s="251" t="str">
        <f>资产负债表!C1&amp;"年"&amp;资产负债表!E1&amp;"月"</f>
        <v>2014年11月</v>
      </c>
      <c r="C2" s="252" t="s">
        <v>1033</v>
      </c>
    </row>
    <row r="3" customHeight="1" spans="1:3">
      <c r="A3" s="253" t="s">
        <v>1034</v>
      </c>
      <c r="B3" s="253" t="s">
        <v>1089</v>
      </c>
      <c r="C3" s="253" t="s">
        <v>1090</v>
      </c>
    </row>
    <row r="4" customHeight="1" spans="1:3">
      <c r="A4" s="3" t="s">
        <v>1091</v>
      </c>
      <c r="B4" s="254">
        <f t="array" ref="B4">SUM(IF(LEFT(PP[科目代码],4)*1=5001,1,)*IF(PP[月]=资产负债表!$E$1,1,)*PP[贷金额])</f>
        <v>375820.53</v>
      </c>
      <c r="C4" s="254">
        <f t="array" ref="C4">SUM(IF(LEFT(PP[科目代码],4)*1=5001,1,)*PP[贷金额]*IF(PP[月]&lt;=资产负债表!$E$1,1,))</f>
        <v>1213780.27</v>
      </c>
    </row>
    <row r="5" customHeight="1" spans="1:3">
      <c r="A5" s="6" t="s">
        <v>1092</v>
      </c>
      <c r="B5" s="254">
        <f t="array" ref="B5">SUM(IF(LEFT(PP[科目代码],4)*1=5401,1,)*IF(PP[月]=资产负债表!$E$1,1,)*PP[借金额])</f>
        <v>354702.8</v>
      </c>
      <c r="C5" s="254">
        <f t="array" ref="C5">SUM(IF(LEFT(PP[科目代码],4)*1=5401,1,)*PP[借金额]*IF(PP[月]&lt;=资产负债表!$E$1,1,))</f>
        <v>870743.95</v>
      </c>
    </row>
    <row r="6" customHeight="1" spans="1:3">
      <c r="A6" s="255" t="s">
        <v>165</v>
      </c>
      <c r="B6" s="254">
        <f t="array" ref="B6">SUM(IF(LEFT(PP[科目代码],4)*1=5403,1,)*IF(PP[月]=资产负债表!$E$1,1,)*PP[借金额])</f>
        <v>0</v>
      </c>
      <c r="C6" s="254">
        <f t="array" ref="C6">SUM(IF(LEFT(PP[科目代码],4)*1=5403,1,)*PP[借金额]*IF(PP[月]&lt;=资产负债表!$E$1,1,))</f>
        <v>22181.91</v>
      </c>
    </row>
    <row r="7" customHeight="1" spans="1:3">
      <c r="A7" s="255" t="s">
        <v>1093</v>
      </c>
      <c r="B7" s="254"/>
      <c r="C7" s="254"/>
    </row>
    <row r="8" customHeight="1" spans="1:3">
      <c r="A8" s="255" t="s">
        <v>1094</v>
      </c>
      <c r="B8" s="254">
        <f>SUMIFS(PP[借金额],PP[科目代码],540304,PP[月],资产负债表!$E$1)</f>
        <v>0</v>
      </c>
      <c r="C8" s="254">
        <f>SUMIFS(PP[借金额],PP[科目代码],540304,PP[月],"&lt;="&amp;资产负债表!$E$1)</f>
        <v>18868.5</v>
      </c>
    </row>
    <row r="9" customHeight="1" spans="1:3">
      <c r="A9" s="255" t="s">
        <v>1095</v>
      </c>
      <c r="B9" s="254">
        <f>SUMIFS(PP[借金额],PP[科目代码],540301,PP[月],资产负债表!$E$1)</f>
        <v>0</v>
      </c>
      <c r="C9" s="254">
        <f>SUMIFS(PP[借金额],PP[科目代码],540301,PP[月],"&lt;="&amp;资产负债表!$E$1)</f>
        <v>1762.02</v>
      </c>
    </row>
    <row r="10" customHeight="1" spans="1:6">
      <c r="A10" s="255" t="s">
        <v>1096</v>
      </c>
      <c r="B10" s="254"/>
      <c r="C10" s="254"/>
      <c r="F10" s="256"/>
    </row>
    <row r="11" customHeight="1" spans="1:6">
      <c r="A11" s="255" t="s">
        <v>1097</v>
      </c>
      <c r="B11" s="254"/>
      <c r="C11" s="254"/>
      <c r="F11" s="256"/>
    </row>
    <row r="12" customHeight="1" spans="1:6">
      <c r="A12" s="257" t="s">
        <v>1098</v>
      </c>
      <c r="B12" s="254">
        <f>SUMIFS(PP[借金额],PP[科目代码],540303,PP[月],资产负债表!$E$1)</f>
        <v>0</v>
      </c>
      <c r="C12" s="254">
        <f>SUMIFS(PP[借金额],PP[科目代码],540303,PP[月],"&lt;="&amp;资产负债表!$E$1)</f>
        <v>292.8</v>
      </c>
      <c r="F12" s="256"/>
    </row>
    <row r="13" customHeight="1" spans="1:6">
      <c r="A13" s="257" t="s">
        <v>1099</v>
      </c>
      <c r="B13" s="254">
        <f>SUMIFS(PP[借金额],PP[科目代码],540302,PP[月],资产负债表!$E$1)</f>
        <v>0</v>
      </c>
      <c r="C13" s="254">
        <f>SUMIFS(PP[借金额],PP[科目代码],540302,PP[月],"&lt;="&amp;资产负债表!$E$1)</f>
        <v>1258.59</v>
      </c>
      <c r="F13" s="256"/>
    </row>
    <row r="14" customHeight="1" spans="1:3">
      <c r="A14" s="255" t="s">
        <v>1100</v>
      </c>
      <c r="B14" s="254">
        <f t="array" ref="B14">SUM(IF(LEFT(PP[科目代码],4)*1=5601,1,)*IF(PP[月]=资产负债表!$E$1,1,)*PP[借金额])</f>
        <v>0</v>
      </c>
      <c r="C14" s="254">
        <f t="array" ref="C14">SUM(IF(LEFT(PP[科目代码],4)*1=5601,1,)*PP[借金额]*IF(PP[月]&lt;=资产负债表!$E$1,1,))</f>
        <v>0</v>
      </c>
    </row>
    <row r="15" customHeight="1" spans="1:3">
      <c r="A15" s="255" t="s">
        <v>1101</v>
      </c>
      <c r="B15" s="254"/>
      <c r="C15" s="254"/>
    </row>
    <row r="16" customHeight="1" spans="1:3">
      <c r="A16" s="255" t="s">
        <v>1102</v>
      </c>
      <c r="B16" s="254"/>
      <c r="C16" s="254"/>
    </row>
    <row r="17" customHeight="1" spans="1:3">
      <c r="A17" s="255" t="s">
        <v>166</v>
      </c>
      <c r="B17" s="254">
        <f t="array" ref="B17">SUM(IF(LEFT(PP[科目代码],4)*1=5602,1,)*IF(PP[月]=资产负债表!$E$1,1,)*PP[借金额])</f>
        <v>-187367.89</v>
      </c>
      <c r="C17" s="254">
        <f t="array" ref="C17">SUM(IF(LEFT(PP[科目代码],4)*1=5602,1,)*PP[借金额]*IF(PP[月]&lt;=资产负债表!$E$1,1,))</f>
        <v>309360.8</v>
      </c>
    </row>
    <row r="18" customHeight="1" spans="1:3">
      <c r="A18" s="255" t="s">
        <v>1103</v>
      </c>
      <c r="B18" s="254"/>
      <c r="C18" s="254"/>
    </row>
    <row r="19" customHeight="1" spans="1:3">
      <c r="A19" s="255" t="s">
        <v>1104</v>
      </c>
      <c r="B19" s="254"/>
      <c r="C19" s="254"/>
    </row>
    <row r="20" customHeight="1" spans="1:3">
      <c r="A20" s="255" t="s">
        <v>1105</v>
      </c>
      <c r="B20" s="254"/>
      <c r="C20" s="254"/>
    </row>
    <row r="21" customHeight="1" spans="1:3">
      <c r="A21" s="255" t="s">
        <v>177</v>
      </c>
      <c r="B21" s="254">
        <f t="array" ref="B21">SUM(IF(LEFT(PP[科目代码],4)*1=5603,1,)*IF(PP[月]=资产负债表!$E$1,1,)*PP[借金额])</f>
        <v>15</v>
      </c>
      <c r="C21" s="254">
        <f t="array" ref="C21">SUM(IF(LEFT(PP[科目代码],4)*1=5603,1,)*PP[借金额]*IF(PP[月]&lt;=资产负债表!$E$1,1,))</f>
        <v>490.46</v>
      </c>
    </row>
    <row r="22" customHeight="1" spans="1:3">
      <c r="A22" s="255" t="s">
        <v>1106</v>
      </c>
      <c r="B22" s="254"/>
      <c r="C22" s="254"/>
    </row>
    <row r="23" customHeight="1" spans="1:3">
      <c r="A23" s="258" t="s">
        <v>1107</v>
      </c>
      <c r="B23" s="254"/>
      <c r="C23" s="254"/>
    </row>
    <row r="24" customHeight="1" spans="1:3">
      <c r="A24" s="6" t="s">
        <v>1108</v>
      </c>
      <c r="B24" s="254">
        <f>B4-B5-B6-B14-B17-B21+B23</f>
        <v>208470.62</v>
      </c>
      <c r="C24" s="254">
        <f>C4-C5-C6-C14-C17-C21+C23</f>
        <v>11003.1500000001</v>
      </c>
    </row>
    <row r="25" customHeight="1" spans="1:3">
      <c r="A25" s="6" t="s">
        <v>1109</v>
      </c>
      <c r="B25" s="254"/>
      <c r="C25" s="254"/>
    </row>
    <row r="26" customHeight="1" spans="1:3">
      <c r="A26" s="6" t="s">
        <v>1110</v>
      </c>
      <c r="B26" s="254">
        <f t="array" ref="B26">SUM(IF(LEFT(PP[科目代码],4)*1=5301,1,)*IF(PP[月]=资产负债表!$E$1,1,)*PP[贷金额])</f>
        <v>0</v>
      </c>
      <c r="C26" s="254">
        <f t="array" ref="C26">SUM(IF(LEFT(PP[科目代码],4)*1=5301,1,)*PP[贷金额]*IF(PP[月]&lt;=资产负债表!$E$1,1,))</f>
        <v>1927.5</v>
      </c>
    </row>
    <row r="27" customHeight="1" spans="1:3">
      <c r="A27" s="6" t="s">
        <v>1111</v>
      </c>
      <c r="B27" s="254"/>
      <c r="C27" s="254"/>
    </row>
    <row r="28" customHeight="1" spans="1:3">
      <c r="A28" s="6" t="s">
        <v>1112</v>
      </c>
      <c r="B28" s="254">
        <f t="array" ref="B28">SUM(IF(LEFT(PP[科目代码],4)*1=5703,1,)*IF(PP[月]=资产负债表!$E$1,1,)*PP[借金额])</f>
        <v>0</v>
      </c>
      <c r="C28" s="254">
        <f t="array" ref="C28">SUM(IF(LEFT(PP[科目代码],4)*1=5711,1,)*PP[借金额]*IF(PP[月]&lt;=资产负债表!$E$1,1,))</f>
        <v>36.45</v>
      </c>
    </row>
    <row r="29" customHeight="1" spans="1:3">
      <c r="A29" s="255" t="s">
        <v>1113</v>
      </c>
      <c r="B29" s="254"/>
      <c r="C29" s="254"/>
    </row>
    <row r="30" customHeight="1" spans="1:3">
      <c r="A30" s="255" t="s">
        <v>1114</v>
      </c>
      <c r="B30" s="254"/>
      <c r="C30" s="254"/>
    </row>
    <row r="31" customHeight="1" spans="1:3">
      <c r="A31" s="255" t="s">
        <v>1115</v>
      </c>
      <c r="B31" s="254"/>
      <c r="C31" s="254"/>
    </row>
    <row r="32" customHeight="1" spans="1:3">
      <c r="A32" s="255" t="s">
        <v>1116</v>
      </c>
      <c r="B32" s="254"/>
      <c r="C32" s="254"/>
    </row>
    <row r="33" customHeight="1" spans="1:3">
      <c r="A33" s="255" t="s">
        <v>1117</v>
      </c>
      <c r="B33" s="254"/>
      <c r="C33" s="254"/>
    </row>
    <row r="34" customHeight="1" spans="1:3">
      <c r="A34" s="6" t="s">
        <v>1118</v>
      </c>
      <c r="B34" s="254">
        <f>B24+B26-B28+B25</f>
        <v>208470.62</v>
      </c>
      <c r="C34" s="254">
        <f>C24+C26-C28+C25</f>
        <v>12894.2000000001</v>
      </c>
    </row>
    <row r="35" customHeight="1" spans="1:3">
      <c r="A35" s="6" t="s">
        <v>1119</v>
      </c>
      <c r="B35" s="254">
        <f t="array" ref="B35">SUM(IF(LEFT(PP[科目代码],4)*1=5801,1,)*IF(PP[月]=资产负债表!$E$1,1,)*PP[借金额])</f>
        <v>184</v>
      </c>
      <c r="C35" s="254">
        <f t="array" ref="C35">SUM(IF(LEFT(PP[科目代码],4)*1=5801,1,)*PP[借金额]*IF(PP[月]&lt;=资产负债表!$E$1,1,))</f>
        <v>3048</v>
      </c>
    </row>
    <row r="36" customHeight="1" spans="1:3">
      <c r="A36" s="6" t="s">
        <v>1120</v>
      </c>
      <c r="B36" s="254">
        <f>B34-B35</f>
        <v>208286.62</v>
      </c>
      <c r="C36" s="254">
        <f>C34-C35</f>
        <v>9846.2000000001</v>
      </c>
    </row>
  </sheetData>
  <mergeCells count="1">
    <mergeCell ref="A1:C1"/>
  </mergeCells>
  <pageMargins left="0.699305555555556" right="0.699305555555556" top="0.75" bottom="0.75" header="0.3" footer="0.3"/>
  <pageSetup paperSize="9" orientation="portrait" horizontalDpi="180" verticalDpi="180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>
    <tabColor rgb="FF00B050"/>
  </sheetPr>
  <dimension ref="A1:P20"/>
  <sheetViews>
    <sheetView showGridLines="0" workbookViewId="0">
      <selection activeCell="E29" sqref="E29"/>
    </sheetView>
  </sheetViews>
  <sheetFormatPr defaultColWidth="9" defaultRowHeight="15"/>
  <cols>
    <col min="1" max="1" width="7.37142857142857" customWidth="1"/>
    <col min="2" max="2" width="6.12380952380952" style="41" customWidth="1"/>
    <col min="3" max="3" width="5.5047619047619" style="41" customWidth="1"/>
    <col min="4" max="4" width="12.5047619047619" customWidth="1"/>
    <col min="5" max="5" width="17.752380952381" customWidth="1"/>
    <col min="6" max="6" width="18" customWidth="1"/>
    <col min="7" max="7" width="5" customWidth="1"/>
    <col min="8" max="8" width="22" customWidth="1"/>
    <col min="9" max="9" width="10.6285714285714" customWidth="1"/>
    <col min="10" max="10" width="7.5047619047619" hidden="1" customWidth="1"/>
    <col min="11" max="11" width="20.8761904761905" hidden="1" customWidth="1"/>
    <col min="12" max="12" width="13.5047619047619" hidden="1" customWidth="1"/>
    <col min="13" max="14" width="15.5047619047619" hidden="1" customWidth="1"/>
    <col min="15" max="15" width="9.75238095238095" hidden="1" customWidth="1"/>
    <col min="16" max="16" width="14.5047619047619" hidden="1" customWidth="1"/>
    <col min="17" max="17" width="7.75238095238095" customWidth="1"/>
  </cols>
  <sheetData>
    <row r="1" ht="24" customHeight="1" spans="1:16">
      <c r="A1" s="42"/>
      <c r="E1" s="201" t="str">
        <f>单位信息!B6&amp;"---总账"</f>
        <v>华军公司---总账</v>
      </c>
      <c r="F1" s="201"/>
      <c r="G1" s="201"/>
      <c r="H1" s="202"/>
      <c r="J1" s="247"/>
      <c r="K1" s="248" t="str">
        <f>E3&amp;"---明细户表"</f>
        <v>库存商品---明细户表</v>
      </c>
      <c r="L1" s="248"/>
      <c r="M1" s="248"/>
      <c r="N1" s="248"/>
      <c r="O1" s="248"/>
      <c r="P1" s="247"/>
    </row>
    <row r="2" ht="5.25" customHeight="1" spans="2:16">
      <c r="B2" s="203"/>
      <c r="C2" s="203"/>
      <c r="D2" s="114"/>
      <c r="E2" s="204"/>
      <c r="F2" s="205"/>
      <c r="G2" s="41"/>
      <c r="J2" s="2" t="s">
        <v>35</v>
      </c>
      <c r="K2" s="2" t="s">
        <v>37</v>
      </c>
      <c r="L2" s="2" t="s">
        <v>43</v>
      </c>
      <c r="M2" s="2" t="s">
        <v>1121</v>
      </c>
      <c r="N2" s="2" t="s">
        <v>1122</v>
      </c>
      <c r="O2" s="2" t="s">
        <v>1123</v>
      </c>
      <c r="P2" s="2" t="s">
        <v>1124</v>
      </c>
    </row>
    <row r="3" ht="16.5" customHeight="1" spans="2:16">
      <c r="B3" s="206"/>
      <c r="C3" s="206"/>
      <c r="D3" s="207" t="str">
        <f>INDEX(ss[[#All],[''科目代码'']],MATCH(E3,ss[[#All],[总账科目]],0))</f>
        <v>1405</v>
      </c>
      <c r="E3" s="208" t="s">
        <v>89</v>
      </c>
      <c r="F3" s="208"/>
      <c r="G3" s="209"/>
      <c r="H3" s="209"/>
      <c r="J3" s="119">
        <v>140501</v>
      </c>
      <c r="K3" s="118" t="s">
        <v>90</v>
      </c>
      <c r="L3" s="128">
        <v>205158.97</v>
      </c>
      <c r="M3" s="128">
        <f>SUMIFS(PP[借金额],PP[科目代码],XC[[#This Row],[科目代码]])</f>
        <v>440579.85</v>
      </c>
      <c r="N3" s="128">
        <f>SUMIFS(PP[贷金额],PP[科目代码],XC[[#This Row],[科目代码]])</f>
        <v>562199.31</v>
      </c>
      <c r="O3" s="127" t="str">
        <f>IF(AND(M3=0,N3=0),IF(VLOOKUP(J3,KMDM[#Data],4,FALSE)=1,IF(L3&gt;0,"借","贷"),IF(VLOOKUP(J3,KMDM[#Data],4,FALSE)=-1,IF(L3&gt;0,"贷","借"),"平")),IF(VLOOKUP(XC[[#This Row],[科目代码]],KMDM[#Data],4,FALSE)=1,IF(XC[[#This Row],[年初数]]+XC[[#This Row],[借方]]-XC[[#This Row],[贷方]]&gt;0,"借","贷"),IF(VLOOKUP(XC[[#This Row],[科目代码]],KMDM[#Data],4,FALSE)=-1,IF(XC[[#This Row],[年初数]]-XC[[#This Row],[借方]]+XC[[#This Row],[贷方]]&gt;0,"贷",IF(XC[[#This Row],[年初数]]-XC[[#This Row],[借方]]+XC[[#This Row],[贷方]]&lt;0,"借","平")))))</f>
        <v>借</v>
      </c>
      <c r="P3" s="128">
        <f>IF(IF(VLOOKUP(XC[[#This Row],[科目代码]],KMDM[#Data],4,FALSE)=1,XC[[#This Row],[年初数]]+XC[[#This Row],[借方]]-XC[[#This Row],[贷方]],XC[[#This Row],[年初数]]-XC[[#This Row],[借方]]+XC[[#This Row],[贷方]])&lt;0,IF(VLOOKUP(XC[[#This Row],[科目代码]],KMDM[#Data],4,FALSE)=1,XC[[#This Row],[年初数]]+XC[[#This Row],[借方]]-XC[[#This Row],[贷方]],XC[[#This Row],[年初数]]-XC[[#This Row],[借方]]+XC[[#This Row],[贷方]])*(-1),IF(VLOOKUP(XC[[#This Row],[科目代码]],KMDM[#Data],4,FALSE)=1,XC[[#This Row],[年初数]]+XC[[#This Row],[借方]]-XC[[#This Row],[贷方]],XC[[#This Row],[年初数]]-XC[[#This Row],[借方]]+XC[[#This Row],[贷方]]))</f>
        <v>83539.51</v>
      </c>
    </row>
    <row r="4" ht="20.25" customHeight="1" spans="1:16">
      <c r="A4" s="139"/>
      <c r="B4" s="210" t="str">
        <f>单位信息!B2&amp;"年"</f>
        <v>2014年</v>
      </c>
      <c r="C4" s="211"/>
      <c r="D4" s="212" t="s">
        <v>1125</v>
      </c>
      <c r="E4" s="213" t="s">
        <v>207</v>
      </c>
      <c r="F4" s="212" t="s">
        <v>208</v>
      </c>
      <c r="G4" s="214" t="s">
        <v>1126</v>
      </c>
      <c r="H4" s="215" t="s">
        <v>1127</v>
      </c>
      <c r="J4" s="119" t="s">
        <v>1128</v>
      </c>
      <c r="K4" s="118"/>
      <c r="L4" s="128">
        <f>SUBTOTAL(109,XC[年初数])</f>
        <v>205158.97</v>
      </c>
      <c r="M4" s="128">
        <f>SUBTOTAL(109,XC[借方])</f>
        <v>440579.85</v>
      </c>
      <c r="N4" s="128">
        <f>SUBTOTAL(109,XC[贷方])</f>
        <v>562199.31</v>
      </c>
      <c r="O4" s="127"/>
      <c r="P4" s="162">
        <f>IF(VLOOKUP((D3&amp;"01")*1,KMDM[#Data],4,FALSE)=1,XC[[#Totals],[年初数]]+XC[[#Totals],[借方]]-XC[[#Totals],[贷方]],XC[[#Totals],[年初数]]-XC[[#Totals],[借方]]+XC[[#Totals],[贷方]])</f>
        <v>83539.51</v>
      </c>
    </row>
    <row r="5" ht="15.75" customHeight="1" spans="1:8">
      <c r="A5" s="139"/>
      <c r="B5" s="216" t="s">
        <v>186</v>
      </c>
      <c r="C5" s="217" t="s">
        <v>187</v>
      </c>
      <c r="D5" s="218"/>
      <c r="E5" s="219"/>
      <c r="F5" s="218"/>
      <c r="G5" s="219"/>
      <c r="H5" s="220"/>
    </row>
    <row r="6" ht="18.75" customHeight="1" spans="1:8">
      <c r="A6" s="139"/>
      <c r="B6" s="221">
        <v>1</v>
      </c>
      <c r="C6" s="222">
        <v>1</v>
      </c>
      <c r="D6" s="223" t="s">
        <v>1129</v>
      </c>
      <c r="E6" s="224"/>
      <c r="F6" s="223"/>
      <c r="G6" s="225" t="str">
        <f t="array" ref="G6">IF(SUM(IF(LEFT(KMDM[科目代码],4)*1=$D$3*1,1,)*KMDM[性质]*KMDM[年初数])&gt;0,"借",IF(SUM(IF(LEFT(KMDM[科目代码],4)*1=$D$3*1,1,)*KMDM[性质]*KMDM[年初数])&lt;0,"贷","平"))</f>
        <v>借</v>
      </c>
      <c r="H6" s="226">
        <f t="array" ref="H6">IF(SUM(IF(LEFT(KMDM[科目代码],4)*1=$D$3*1,1,)*KMDM[年初数])&lt;0,SUM(IF(LEFT(KMDM[科目代码],4)*1=$D$3*1,1,)*KMDM[年初数])*(-1),SUM(IF(LEFT(KMDM[科目代码],4)*1=$D$3*1,1,)*KMDM[年初数]))</f>
        <v>205158.97</v>
      </c>
    </row>
    <row r="7" ht="18.75" customHeight="1" spans="1:12">
      <c r="A7" s="139"/>
      <c r="B7" s="227">
        <v>1</v>
      </c>
      <c r="C7" s="228">
        <v>30</v>
      </c>
      <c r="D7" s="229"/>
      <c r="E7" s="230">
        <v>1350.43</v>
      </c>
      <c r="F7" s="231">
        <v>0</v>
      </c>
      <c r="G7" s="232" t="str">
        <f>IF(B7="","",IF(AND(H6+E7-F7=H7,H6-E7+F7=H7),G6,IF(H6+E7-F7=H7,"借",IF(H6-E7+F7=H7,"贷",IF(H6+E7-F7&lt;0,"贷",IF(H6-E7+F7&lt;0,"借","平"))))))</f>
        <v>借</v>
      </c>
      <c r="H7" s="233">
        <f>IF(B7="","",IF(G6="借",IF(H6+E7-F7&gt;0,H6+E7-F7,(H6+E7-F7)*(-1)),IF(G6="贷",IF(H6-E7+F7&gt;0,H6-E7+F7,(H6-E7+F7)*(-1)),IF(G6="平",IF(E7&gt;F7,E7-F7,F7-E7)))))</f>
        <v>206509.4</v>
      </c>
      <c r="L7" s="192"/>
    </row>
    <row r="8" ht="18.75" customHeight="1" spans="1:8">
      <c r="A8" s="139"/>
      <c r="B8" s="227">
        <v>2</v>
      </c>
      <c r="C8" s="228">
        <v>30</v>
      </c>
      <c r="D8" s="229"/>
      <c r="E8" s="230">
        <v>0</v>
      </c>
      <c r="F8" s="231">
        <v>1350.43</v>
      </c>
      <c r="G8" s="232" t="str">
        <f t="shared" ref="G8:G18" si="0">IF(B8="","",IF(AND(H7+E8-F8=H8,H7-E8+F8=H8),G7,IF(H7+E8-F8=H8,"借",IF(H7-E8+F8=H8,"贷",IF(H7+E8-F8&lt;0,"贷",IF(H7-E8+F8&lt;0,"借","平"))))))</f>
        <v>借</v>
      </c>
      <c r="H8" s="233">
        <f t="shared" ref="H8:H18" si="1">IF(B8="","",IF(G7="借",IF(H7+E8-F8&gt;0,H7+E8-F8,(H7+E8-F8)*(-1)),IF(G7="贷",IF(H7-E8+F8&gt;0,H7-E8+F8,(H7-E8+F8)*(-1)),IF(G7="平",IF(E8&gt;F8,E8-F8,F8-E8)))))</f>
        <v>205158.97</v>
      </c>
    </row>
    <row r="9" ht="18.75" customHeight="1" spans="1:8">
      <c r="A9" s="139"/>
      <c r="B9" s="227">
        <v>3</v>
      </c>
      <c r="C9" s="228">
        <v>30</v>
      </c>
      <c r="D9" s="229"/>
      <c r="E9" s="230">
        <v>187</v>
      </c>
      <c r="F9" s="231">
        <v>0</v>
      </c>
      <c r="G9" s="232" t="str">
        <f t="shared" si="0"/>
        <v>借</v>
      </c>
      <c r="H9" s="233">
        <f t="shared" si="1"/>
        <v>205345.97</v>
      </c>
    </row>
    <row r="10" ht="18.75" customHeight="1" spans="1:8">
      <c r="A10" s="139"/>
      <c r="B10" s="227">
        <v>4</v>
      </c>
      <c r="C10" s="228">
        <v>30</v>
      </c>
      <c r="D10" s="229"/>
      <c r="E10" s="230">
        <v>846.15</v>
      </c>
      <c r="F10" s="231">
        <v>187</v>
      </c>
      <c r="G10" s="232" t="str">
        <f t="shared" si="0"/>
        <v>借</v>
      </c>
      <c r="H10" s="233">
        <f t="shared" si="1"/>
        <v>206005.12</v>
      </c>
    </row>
    <row r="11" ht="18.75" customHeight="1" spans="1:8">
      <c r="A11" s="139"/>
      <c r="B11" s="227">
        <v>5</v>
      </c>
      <c r="C11" s="228">
        <v>30</v>
      </c>
      <c r="D11" s="229"/>
      <c r="E11" s="230">
        <v>307.69</v>
      </c>
      <c r="F11" s="231">
        <v>430</v>
      </c>
      <c r="G11" s="232" t="str">
        <f t="shared" si="0"/>
        <v>借</v>
      </c>
      <c r="H11" s="233">
        <f t="shared" si="1"/>
        <v>205882.81</v>
      </c>
    </row>
    <row r="12" ht="18.75" customHeight="1" spans="1:8">
      <c r="A12" s="139"/>
      <c r="B12" s="227">
        <v>6</v>
      </c>
      <c r="C12" s="228">
        <v>30</v>
      </c>
      <c r="D12" s="229"/>
      <c r="E12" s="230">
        <v>556.4</v>
      </c>
      <c r="F12" s="231">
        <v>846.15</v>
      </c>
      <c r="G12" s="232" t="str">
        <f t="shared" si="0"/>
        <v>借</v>
      </c>
      <c r="H12" s="233">
        <f t="shared" si="1"/>
        <v>205593.06</v>
      </c>
    </row>
    <row r="13" ht="18.75" customHeight="1" spans="1:8">
      <c r="A13" s="139"/>
      <c r="B13" s="227">
        <v>8</v>
      </c>
      <c r="C13" s="228">
        <v>30</v>
      </c>
      <c r="D13" s="229"/>
      <c r="E13" s="230">
        <v>0</v>
      </c>
      <c r="F13" s="231">
        <v>439.09</v>
      </c>
      <c r="G13" s="232" t="str">
        <f t="shared" si="0"/>
        <v>借</v>
      </c>
      <c r="H13" s="233">
        <f t="shared" si="1"/>
        <v>205153.97</v>
      </c>
    </row>
    <row r="14" ht="18.75" customHeight="1" spans="1:8">
      <c r="A14" s="139"/>
      <c r="B14" s="227">
        <v>9</v>
      </c>
      <c r="C14" s="228">
        <v>30</v>
      </c>
      <c r="D14" s="229"/>
      <c r="E14" s="230">
        <v>77698.77</v>
      </c>
      <c r="F14" s="231">
        <v>230946.64</v>
      </c>
      <c r="G14" s="232" t="str">
        <f t="shared" si="0"/>
        <v>借</v>
      </c>
      <c r="H14" s="233">
        <f t="shared" si="1"/>
        <v>51906.1</v>
      </c>
    </row>
    <row r="15" ht="18.75" customHeight="1" spans="1:8">
      <c r="A15" s="139"/>
      <c r="B15" s="227">
        <v>10</v>
      </c>
      <c r="C15" s="228">
        <v>30</v>
      </c>
      <c r="D15" s="229"/>
      <c r="E15" s="230">
        <v>338997.52</v>
      </c>
      <c r="F15" s="231">
        <v>0</v>
      </c>
      <c r="G15" s="232" t="str">
        <f t="shared" si="0"/>
        <v>借</v>
      </c>
      <c r="H15" s="233">
        <f t="shared" si="1"/>
        <v>390903.62</v>
      </c>
    </row>
    <row r="16" ht="18.75" customHeight="1" spans="1:8">
      <c r="A16" s="139"/>
      <c r="B16" s="227">
        <v>11</v>
      </c>
      <c r="C16" s="228">
        <v>30</v>
      </c>
      <c r="D16" s="229"/>
      <c r="E16" s="230">
        <v>20635.89</v>
      </c>
      <c r="F16" s="231">
        <v>328000</v>
      </c>
      <c r="G16" s="232" t="str">
        <f t="shared" si="0"/>
        <v>借</v>
      </c>
      <c r="H16" s="233">
        <f t="shared" si="1"/>
        <v>83539.51</v>
      </c>
    </row>
    <row r="17" ht="18.75" customHeight="1" spans="1:8">
      <c r="A17" s="139"/>
      <c r="B17" s="227"/>
      <c r="C17" s="228"/>
      <c r="D17" s="229"/>
      <c r="E17" s="230"/>
      <c r="F17" s="231"/>
      <c r="G17" s="232" t="str">
        <f t="shared" si="0"/>
        <v/>
      </c>
      <c r="H17" s="233" t="str">
        <f t="shared" si="1"/>
        <v/>
      </c>
    </row>
    <row r="18" ht="18" customHeight="1" spans="1:8">
      <c r="A18" s="139"/>
      <c r="B18" s="234"/>
      <c r="C18" s="235"/>
      <c r="D18" s="236"/>
      <c r="E18" s="237"/>
      <c r="F18" s="238"/>
      <c r="G18" s="239" t="str">
        <f t="shared" si="0"/>
        <v/>
      </c>
      <c r="H18" s="240" t="str">
        <f t="shared" si="1"/>
        <v/>
      </c>
    </row>
    <row r="19" ht="21" customHeight="1" spans="1:8">
      <c r="A19" s="139"/>
      <c r="B19" s="241"/>
      <c r="C19" s="241"/>
      <c r="D19" s="242"/>
      <c r="E19" s="243"/>
      <c r="F19" s="244"/>
      <c r="G19" s="245" t="str">
        <f t="shared" ref="G19" si="2">IF(B19="","",IF(H18+E19-F19=H19,"借",IF(H18-E19+F19=H19,"贷",IF(H18+E19-F19&lt;0,"贷",IF(H18-E19+F19&lt;0,"借","平")))))</f>
        <v/>
      </c>
      <c r="H19" s="246" t="str">
        <f t="shared" ref="H19" si="3">IF(B19="","",IF(G18="借",IF(H18+E19-F19&gt;0,H18+E19-F19,(H18+E19-F19)*(-1)),IF(G18="贷",IF(H18-E19+F19&gt;0,H18-E19+F19,(H18-E19+F19)*(-1)),IF(G18="平",IF(E19&gt;F19,E19-F19,F19-E19)))))</f>
        <v/>
      </c>
    </row>
    <row r="20" ht="15.75"/>
  </sheetData>
  <mergeCells count="13">
    <mergeCell ref="E1:G1"/>
    <mergeCell ref="K1:O1"/>
    <mergeCell ref="B2:C2"/>
    <mergeCell ref="E2:F2"/>
    <mergeCell ref="B3:C3"/>
    <mergeCell ref="E3:F3"/>
    <mergeCell ref="B4:C4"/>
    <mergeCell ref="B19:D19"/>
    <mergeCell ref="D4:D5"/>
    <mergeCell ref="E4:E5"/>
    <mergeCell ref="F4:F5"/>
    <mergeCell ref="G4:G5"/>
    <mergeCell ref="H4:H5"/>
  </mergeCells>
  <pageMargins left="0.708333333333333" right="0.708333333333333" top="0.747916666666667" bottom="0.747916666666667" header="0.314583333333333" footer="0.314583333333333"/>
  <pageSetup paperSize="9" orientation="landscape" verticalDpi="180"/>
  <headerFooter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G20"/>
  <sheetViews>
    <sheetView workbookViewId="0">
      <selection activeCell="H10" sqref="H10"/>
    </sheetView>
  </sheetViews>
  <sheetFormatPr defaultColWidth="9" defaultRowHeight="15" outlineLevelCol="6"/>
  <cols>
    <col min="1" max="1" width="11.752380952381" customWidth="1"/>
    <col min="2" max="2" width="26.6285714285714" customWidth="1"/>
    <col min="3" max="3" width="14.6285714285714" customWidth="1"/>
    <col min="4" max="4" width="20.6285714285714" customWidth="1"/>
    <col min="5" max="5" width="19.247619047619" customWidth="1"/>
    <col min="6" max="6" width="6.87619047619048" customWidth="1"/>
    <col min="7" max="7" width="16.6285714285714" customWidth="1"/>
  </cols>
  <sheetData>
    <row r="1" ht="24" customHeight="1" spans="1:7">
      <c r="A1" s="194" t="s">
        <v>1130</v>
      </c>
      <c r="B1" s="194"/>
      <c r="C1" s="194"/>
      <c r="D1" s="194"/>
      <c r="E1" s="194"/>
      <c r="F1" s="194"/>
      <c r="G1" s="194"/>
    </row>
    <row r="2" ht="17.25" hidden="1" customHeight="1" spans="1:7">
      <c r="A2" s="195">
        <f>(A4&amp;"01")*1</f>
        <v>112201</v>
      </c>
      <c r="B2" s="195"/>
      <c r="C2" s="195"/>
      <c r="D2" s="195"/>
      <c r="E2" s="195"/>
      <c r="F2" s="195"/>
      <c r="G2" s="195"/>
    </row>
    <row r="3" ht="21" customHeight="1" spans="1:7">
      <c r="A3" s="196" t="s">
        <v>35</v>
      </c>
      <c r="B3" s="196" t="s">
        <v>1131</v>
      </c>
      <c r="C3" s="196" t="s">
        <v>43</v>
      </c>
      <c r="D3" s="196" t="s">
        <v>197</v>
      </c>
      <c r="E3" s="196" t="s">
        <v>198</v>
      </c>
      <c r="F3" s="196" t="s">
        <v>1123</v>
      </c>
      <c r="G3" s="196" t="s">
        <v>1124</v>
      </c>
    </row>
    <row r="4" ht="20.25" customHeight="1" spans="1:7">
      <c r="A4" s="390" t="s">
        <v>1132</v>
      </c>
      <c r="B4" s="198" t="s">
        <v>49</v>
      </c>
      <c r="C4" s="199">
        <f t="array" ref="C4">SUM(IF(LEFT(KMDM[科目代码],4)=A4,1,)*KMDM[年初数])</f>
        <v>227060</v>
      </c>
      <c r="D4" s="199">
        <f t="array" ref="D4">SUM(IF(LEFT(PP[科目代码],4)=A4,1,)*PP[借金额])</f>
        <v>1159970.8</v>
      </c>
      <c r="E4" s="199">
        <f t="array" ref="E4">SUM(IF(LEFT(PP[科目代码],4)=A4,1,)*PP[贷金额])</f>
        <v>832112.8</v>
      </c>
      <c r="F4" s="200" t="str">
        <f>IF(AND(D4=0,E4=0),IF(VLOOKUP(A2,KMDM[#Data],4,FALSE)=1,IF(C4&gt;0,"借","贷"),IF(VLOOKUP(A2,KMDM[#Data],4,FALSE)=-1,IF(C4&gt;0,"贷","借"),"平")),IF(VLOOKUP(A2,KMDM[#Data],4,FALSE)=1,IF(C4+D4-E4&gt;0,"借","贷"),IF(VLOOKUP(A2,KMDM[#Data],4,FALSE)=-1,IF(C4-D4+E4&gt;0,"贷",IF(C4-D4+E4&lt;0,"借","平")))))</f>
        <v>借</v>
      </c>
      <c r="G4" s="199">
        <f>IF(IF(VLOOKUP(A2,KMDM[#Data],4,FALSE)=1,C4+D4-E4,C4-D4+E4)&lt;0,IF(VLOOKUP(A2,KMDM[#Data],4,FALSE)=1,C4+D4-E4,C4-D4+E4)*(-1),IF(VLOOKUP(A2,KMDM[#Data],4,FALSE)=1,C4+D4-E4,C4-D4+E4))</f>
        <v>554918</v>
      </c>
    </row>
    <row r="5" ht="21.75" hidden="1" customHeight="1" spans="1:7">
      <c r="A5" t="s">
        <v>35</v>
      </c>
      <c r="B5" t="s">
        <v>37</v>
      </c>
      <c r="C5" s="162" t="s">
        <v>43</v>
      </c>
      <c r="D5" t="s">
        <v>1121</v>
      </c>
      <c r="E5" t="s">
        <v>1122</v>
      </c>
      <c r="F5" t="s">
        <v>1133</v>
      </c>
      <c r="G5" t="s">
        <v>1134</v>
      </c>
    </row>
    <row r="6" spans="1:7">
      <c r="A6" s="41">
        <v>112201</v>
      </c>
      <c r="B6" t="s">
        <v>50</v>
      </c>
      <c r="C6" s="162">
        <v>46900</v>
      </c>
      <c r="D6" s="128">
        <f>SUMIFS(PP[借金额],PP[科目代码],cc[[#This Row],[科目代码]])</f>
        <v>36000</v>
      </c>
      <c r="E6" s="128">
        <f>SUMIFS(PP[贷金额],PP[科目代码],cc[[#This Row],[科目代码]])</f>
        <v>70150</v>
      </c>
      <c r="F6" s="127" t="str">
        <f>IF(AND(D6=0,E6=0),IF(VLOOKUP(A6,KMDM[#Data],4,FALSE)=1,IF(C6&gt;0,"借","贷"),IF(VLOOKUP(A6,KMDM[#Data],4,FALSE)=-1,IF(C6&gt;0,"贷","借"),"平")),IF(VLOOKUP(cc[[#This Row],[科目代码]],KMDM[#Data],4,FALSE)=1,IF(cc[[#This Row],[年初数]]+cc[[#This Row],[借方]]-cc[[#This Row],[贷方]]&gt;0,"借","贷"),IF(VLOOKUP(cc[[#This Row],[科目代码]],KMDM[#Data],4,FALSE)=-1,IF(cc[[#This Row],[年初数]]-cc[[#This Row],[借方]]+cc[[#This Row],[贷方]]&gt;0,"贷",IF(cc[[#This Row],[年初数]]-cc[[#This Row],[借方]]+cc[[#This Row],[贷方]]&lt;0,"借","平")))))</f>
        <v>借</v>
      </c>
      <c r="G6" s="128">
        <f>IF(IF(VLOOKUP(cc[[#This Row],[科目代码]],KMDM[#Data],4,FALSE)=1,cc[[#This Row],[年初数]]+cc[[#This Row],[借方]]-cc[[#This Row],[贷方]],cc[[#This Row],[年初数]]-cc[[#This Row],[借方]]+cc[[#This Row],[贷方]])&lt;0,IF(VLOOKUP(cc[[#This Row],[科目代码]],KMDM[#Data],4,FALSE)=1,cc[[#This Row],[年初数]]+cc[[#This Row],[借方]]-cc[[#This Row],[贷方]],cc[[#This Row],[年初数]]-cc[[#This Row],[借方]]+cc[[#This Row],[贷方]])*(-1),IF(VLOOKUP(cc[[#This Row],[科目代码]],KMDM[#Data],4,FALSE)=1,cc[[#This Row],[年初数]]+cc[[#This Row],[借方]]-cc[[#This Row],[贷方]],cc[[#This Row],[年初数]]-cc[[#This Row],[借方]]+cc[[#This Row],[贷方]]))</f>
        <v>12750</v>
      </c>
    </row>
    <row r="7" spans="1:7">
      <c r="A7" s="41">
        <v>112202</v>
      </c>
      <c r="B7" t="s">
        <v>51</v>
      </c>
      <c r="C7" s="162">
        <v>116600</v>
      </c>
      <c r="D7" s="128">
        <f>SUMIFS(PP[借金额],PP[科目代码],cc[[#This Row],[科目代码]])</f>
        <v>0</v>
      </c>
      <c r="E7" s="128">
        <f>SUMIFS(PP[贷金额],PP[科目代码],cc[[#This Row],[科目代码]])</f>
        <v>116600</v>
      </c>
      <c r="F7" s="127" t="str">
        <f>IF(AND(D7=0,E7=0),IF(VLOOKUP(A7,KMDM[#Data],4,FALSE)=1,IF(C7&gt;0,"借","贷"),IF(VLOOKUP(A7,KMDM[#Data],4,FALSE)=-1,IF(C7&gt;0,"贷","借"),"平")),IF(VLOOKUP(cc[[#This Row],[科目代码]],KMDM[#Data],4,FALSE)=1,IF(cc[[#This Row],[年初数]]+cc[[#This Row],[借方]]-cc[[#This Row],[贷方]]&gt;0,"借","贷"),IF(VLOOKUP(cc[[#This Row],[科目代码]],KMDM[#Data],4,FALSE)=-1,IF(cc[[#This Row],[年初数]]-cc[[#This Row],[借方]]+cc[[#This Row],[贷方]]&gt;0,"贷",IF(cc[[#This Row],[年初数]]-cc[[#This Row],[借方]]+cc[[#This Row],[贷方]]&lt;0,"借","平")))))</f>
        <v>贷</v>
      </c>
      <c r="G7" s="128">
        <f>IF(IF(VLOOKUP(cc[[#This Row],[科目代码]],KMDM[#Data],4,FALSE)=1,cc[[#This Row],[年初数]]+cc[[#This Row],[借方]]-cc[[#This Row],[贷方]],cc[[#This Row],[年初数]]-cc[[#This Row],[借方]]+cc[[#This Row],[贷方]])&lt;0,IF(VLOOKUP(cc[[#This Row],[科目代码]],KMDM[#Data],4,FALSE)=1,cc[[#This Row],[年初数]]+cc[[#This Row],[借方]]-cc[[#This Row],[贷方]],cc[[#This Row],[年初数]]-cc[[#This Row],[借方]]+cc[[#This Row],[贷方]])*(-1),IF(VLOOKUP(cc[[#This Row],[科目代码]],KMDM[#Data],4,FALSE)=1,cc[[#This Row],[年初数]]+cc[[#This Row],[借方]]-cc[[#This Row],[贷方]],cc[[#This Row],[年初数]]-cc[[#This Row],[借方]]+cc[[#This Row],[贷方]]))</f>
        <v>0</v>
      </c>
    </row>
    <row r="8" spans="1:7">
      <c r="A8" s="41">
        <v>112203</v>
      </c>
      <c r="B8" t="s">
        <v>52</v>
      </c>
      <c r="C8" s="162">
        <v>52010</v>
      </c>
      <c r="D8" s="128">
        <f>SUMIFS(PP[借金额],PP[科目代码],cc[[#This Row],[科目代码]])</f>
        <v>0</v>
      </c>
      <c r="E8" s="128">
        <f>SUMIFS(PP[贷金额],PP[科目代码],cc[[#This Row],[科目代码]])</f>
        <v>52010</v>
      </c>
      <c r="F8" s="127" t="str">
        <f>IF(AND(D8=0,E8=0),IF(VLOOKUP(A8,KMDM[#Data],4,FALSE)=1,IF(C8&gt;0,"借","贷"),IF(VLOOKUP(A8,KMDM[#Data],4,FALSE)=-1,IF(C8&gt;0,"贷","借"),"平")),IF(VLOOKUP(cc[[#This Row],[科目代码]],KMDM[#Data],4,FALSE)=1,IF(cc[[#This Row],[年初数]]+cc[[#This Row],[借方]]-cc[[#This Row],[贷方]]&gt;0,"借","贷"),IF(VLOOKUP(cc[[#This Row],[科目代码]],KMDM[#Data],4,FALSE)=-1,IF(cc[[#This Row],[年初数]]-cc[[#This Row],[借方]]+cc[[#This Row],[贷方]]&gt;0,"贷",IF(cc[[#This Row],[年初数]]-cc[[#This Row],[借方]]+cc[[#This Row],[贷方]]&lt;0,"借","平")))))</f>
        <v>贷</v>
      </c>
      <c r="G8" s="128">
        <f>IF(IF(VLOOKUP(cc[[#This Row],[科目代码]],KMDM[#Data],4,FALSE)=1,cc[[#This Row],[年初数]]+cc[[#This Row],[借方]]-cc[[#This Row],[贷方]],cc[[#This Row],[年初数]]-cc[[#This Row],[借方]]+cc[[#This Row],[贷方]])&lt;0,IF(VLOOKUP(cc[[#This Row],[科目代码]],KMDM[#Data],4,FALSE)=1,cc[[#This Row],[年初数]]+cc[[#This Row],[借方]]-cc[[#This Row],[贷方]],cc[[#This Row],[年初数]]-cc[[#This Row],[借方]]+cc[[#This Row],[贷方]])*(-1),IF(VLOOKUP(cc[[#This Row],[科目代码]],KMDM[#Data],4,FALSE)=1,cc[[#This Row],[年初数]]+cc[[#This Row],[借方]]-cc[[#This Row],[贷方]],cc[[#This Row],[年初数]]-cc[[#This Row],[借方]]+cc[[#This Row],[贷方]]))</f>
        <v>0</v>
      </c>
    </row>
    <row r="9" spans="1:7">
      <c r="A9" s="41">
        <v>112204</v>
      </c>
      <c r="B9" t="s">
        <v>53</v>
      </c>
      <c r="C9" s="162">
        <v>11550</v>
      </c>
      <c r="D9" s="128">
        <f>SUMIFS(PP[借金额],PP[科目代码],cc[[#This Row],[科目代码]])</f>
        <v>161770</v>
      </c>
      <c r="E9" s="128">
        <f>SUMIFS(PP[贷金额],PP[科目代码],cc[[#This Row],[科目代码]])</f>
        <v>165820</v>
      </c>
      <c r="F9" s="127" t="str">
        <f>IF(AND(D9=0,E9=0),IF(VLOOKUP(A9,KMDM[#Data],4,FALSE)=1,IF(C9&gt;0,"借","贷"),IF(VLOOKUP(A9,KMDM[#Data],4,FALSE)=-1,IF(C9&gt;0,"贷","借"),"平")),IF(VLOOKUP(cc[[#This Row],[科目代码]],KMDM[#Data],4,FALSE)=1,IF(cc[[#This Row],[年初数]]+cc[[#This Row],[借方]]-cc[[#This Row],[贷方]]&gt;0,"借","贷"),IF(VLOOKUP(cc[[#This Row],[科目代码]],KMDM[#Data],4,FALSE)=-1,IF(cc[[#This Row],[年初数]]-cc[[#This Row],[借方]]+cc[[#This Row],[贷方]]&gt;0,"贷",IF(cc[[#This Row],[年初数]]-cc[[#This Row],[借方]]+cc[[#This Row],[贷方]]&lt;0,"借","平")))))</f>
        <v>借</v>
      </c>
      <c r="G9" s="128">
        <f>IF(IF(VLOOKUP(cc[[#This Row],[科目代码]],KMDM[#Data],4,FALSE)=1,cc[[#This Row],[年初数]]+cc[[#This Row],[借方]]-cc[[#This Row],[贷方]],cc[[#This Row],[年初数]]-cc[[#This Row],[借方]]+cc[[#This Row],[贷方]])&lt;0,IF(VLOOKUP(cc[[#This Row],[科目代码]],KMDM[#Data],4,FALSE)=1,cc[[#This Row],[年初数]]+cc[[#This Row],[借方]]-cc[[#This Row],[贷方]],cc[[#This Row],[年初数]]-cc[[#This Row],[借方]]+cc[[#This Row],[贷方]])*(-1),IF(VLOOKUP(cc[[#This Row],[科目代码]],KMDM[#Data],4,FALSE)=1,cc[[#This Row],[年初数]]+cc[[#This Row],[借方]]-cc[[#This Row],[贷方]],cc[[#This Row],[年初数]]-cc[[#This Row],[借方]]+cc[[#This Row],[贷方]]))</f>
        <v>7500</v>
      </c>
    </row>
    <row r="10" spans="1:7">
      <c r="A10" s="41">
        <v>112205</v>
      </c>
      <c r="B10" t="s">
        <v>54</v>
      </c>
      <c r="C10" s="162">
        <v>0</v>
      </c>
      <c r="D10" s="128">
        <f>SUMIFS(PP[借金额],PP[科目代码],cc[[#This Row],[科目代码]])</f>
        <v>10158</v>
      </c>
      <c r="E10" s="128">
        <f>SUMIFS(PP[贷金额],PP[科目代码],cc[[#This Row],[科目代码]])</f>
        <v>9958</v>
      </c>
      <c r="F10" s="127" t="str">
        <f>IF(AND(D10=0,E10=0),IF(VLOOKUP(A10,KMDM[#Data],4,FALSE)=1,IF(C10&gt;0,"借","贷"),IF(VLOOKUP(A10,KMDM[#Data],4,FALSE)=-1,IF(C10&gt;0,"贷","借"),"平")),IF(VLOOKUP(cc[[#This Row],[科目代码]],KMDM[#Data],4,FALSE)=1,IF(cc[[#This Row],[年初数]]+cc[[#This Row],[借方]]-cc[[#This Row],[贷方]]&gt;0,"借","贷"),IF(VLOOKUP(cc[[#This Row],[科目代码]],KMDM[#Data],4,FALSE)=-1,IF(cc[[#This Row],[年初数]]-cc[[#This Row],[借方]]+cc[[#This Row],[贷方]]&gt;0,"贷",IF(cc[[#This Row],[年初数]]-cc[[#This Row],[借方]]+cc[[#This Row],[贷方]]&lt;0,"借","平")))))</f>
        <v>借</v>
      </c>
      <c r="G10" s="128">
        <f>IF(IF(VLOOKUP(cc[[#This Row],[科目代码]],KMDM[#Data],4,FALSE)=1,cc[[#This Row],[年初数]]+cc[[#This Row],[借方]]-cc[[#This Row],[贷方]],cc[[#This Row],[年初数]]-cc[[#This Row],[借方]]+cc[[#This Row],[贷方]])&lt;0,IF(VLOOKUP(cc[[#This Row],[科目代码]],KMDM[#Data],4,FALSE)=1,cc[[#This Row],[年初数]]+cc[[#This Row],[借方]]-cc[[#This Row],[贷方]],cc[[#This Row],[年初数]]-cc[[#This Row],[借方]]+cc[[#This Row],[贷方]])*(-1),IF(VLOOKUP(cc[[#This Row],[科目代码]],KMDM[#Data],4,FALSE)=1,cc[[#This Row],[年初数]]+cc[[#This Row],[借方]]-cc[[#This Row],[贷方]],cc[[#This Row],[年初数]]-cc[[#This Row],[借方]]+cc[[#This Row],[贷方]]))</f>
        <v>200</v>
      </c>
    </row>
    <row r="11" spans="1:7">
      <c r="A11" s="41">
        <v>112206</v>
      </c>
      <c r="B11" t="s">
        <v>55</v>
      </c>
      <c r="C11" s="162"/>
      <c r="D11" s="128">
        <f>SUMIFS(PP[借金额],PP[科目代码],cc[[#This Row],[科目代码]])</f>
        <v>3574.8</v>
      </c>
      <c r="E11" s="128">
        <f>SUMIFS(PP[贷金额],PP[科目代码],cc[[#This Row],[科目代码]])</f>
        <v>3574.8</v>
      </c>
      <c r="F11" s="127" t="str">
        <f>IF(AND(D11=0,E11=0),IF(VLOOKUP(A11,KMDM[#Data],4,FALSE)=1,IF(C11&gt;0,"借","贷"),IF(VLOOKUP(A11,KMDM[#Data],4,FALSE)=-1,IF(C11&gt;0,"贷","借"),"平")),IF(VLOOKUP(cc[[#This Row],[科目代码]],KMDM[#Data],4,FALSE)=1,IF(cc[[#This Row],[年初数]]+cc[[#This Row],[借方]]-cc[[#This Row],[贷方]]&gt;0,"借","贷"),IF(VLOOKUP(cc[[#This Row],[科目代码]],KMDM[#Data],4,FALSE)=-1,IF(cc[[#This Row],[年初数]]-cc[[#This Row],[借方]]+cc[[#This Row],[贷方]]&gt;0,"贷",IF(cc[[#This Row],[年初数]]-cc[[#This Row],[借方]]+cc[[#This Row],[贷方]]&lt;0,"借","平")))))</f>
        <v>贷</v>
      </c>
      <c r="G11" s="128">
        <f>IF(IF(VLOOKUP(cc[[#This Row],[科目代码]],KMDM[#Data],4,FALSE)=1,cc[[#This Row],[年初数]]+cc[[#This Row],[借方]]-cc[[#This Row],[贷方]],cc[[#This Row],[年初数]]-cc[[#This Row],[借方]]+cc[[#This Row],[贷方]])&lt;0,IF(VLOOKUP(cc[[#This Row],[科目代码]],KMDM[#Data],4,FALSE)=1,cc[[#This Row],[年初数]]+cc[[#This Row],[借方]]-cc[[#This Row],[贷方]],cc[[#This Row],[年初数]]-cc[[#This Row],[借方]]+cc[[#This Row],[贷方]])*(-1),IF(VLOOKUP(cc[[#This Row],[科目代码]],KMDM[#Data],4,FALSE)=1,cc[[#This Row],[年初数]]+cc[[#This Row],[借方]]-cc[[#This Row],[贷方]],cc[[#This Row],[年初数]]-cc[[#This Row],[借方]]+cc[[#This Row],[贷方]]))</f>
        <v>0</v>
      </c>
    </row>
    <row r="12" spans="1:7">
      <c r="A12" s="41">
        <v>112207</v>
      </c>
      <c r="B12" t="s">
        <v>56</v>
      </c>
      <c r="C12" s="162"/>
      <c r="D12" s="128">
        <f>SUMIFS(PP[借金额],PP[科目代码],cc[[#This Row],[科目代码]])</f>
        <v>20000</v>
      </c>
      <c r="E12" s="128">
        <f>SUMIFS(PP[贷金额],PP[科目代码],cc[[#This Row],[科目代码]])</f>
        <v>20000</v>
      </c>
      <c r="F12" s="127" t="str">
        <f>IF(AND(D12=0,E12=0),IF(VLOOKUP(A12,KMDM[#Data],4,FALSE)=1,IF(C12&gt;0,"借","贷"),IF(VLOOKUP(A12,KMDM[#Data],4,FALSE)=-1,IF(C12&gt;0,"贷","借"),"平")),IF(VLOOKUP(cc[[#This Row],[科目代码]],KMDM[#Data],4,FALSE)=1,IF(cc[[#This Row],[年初数]]+cc[[#This Row],[借方]]-cc[[#This Row],[贷方]]&gt;0,"借","贷"),IF(VLOOKUP(cc[[#This Row],[科目代码]],KMDM[#Data],4,FALSE)=-1,IF(cc[[#This Row],[年初数]]-cc[[#This Row],[借方]]+cc[[#This Row],[贷方]]&gt;0,"贷",IF(cc[[#This Row],[年初数]]-cc[[#This Row],[借方]]+cc[[#This Row],[贷方]]&lt;0,"借","平")))))</f>
        <v>贷</v>
      </c>
      <c r="G12" s="128">
        <f>IF(IF(VLOOKUP(cc[[#This Row],[科目代码]],KMDM[#Data],4,FALSE)=1,cc[[#This Row],[年初数]]+cc[[#This Row],[借方]]-cc[[#This Row],[贷方]],cc[[#This Row],[年初数]]-cc[[#This Row],[借方]]+cc[[#This Row],[贷方]])&lt;0,IF(VLOOKUP(cc[[#This Row],[科目代码]],KMDM[#Data],4,FALSE)=1,cc[[#This Row],[年初数]]+cc[[#This Row],[借方]]-cc[[#This Row],[贷方]],cc[[#This Row],[年初数]]-cc[[#This Row],[借方]]+cc[[#This Row],[贷方]])*(-1),IF(VLOOKUP(cc[[#This Row],[科目代码]],KMDM[#Data],4,FALSE)=1,cc[[#This Row],[年初数]]+cc[[#This Row],[借方]]-cc[[#This Row],[贷方]],cc[[#This Row],[年初数]]-cc[[#This Row],[借方]]+cc[[#This Row],[贷方]]))</f>
        <v>0</v>
      </c>
    </row>
    <row r="13" spans="1:7">
      <c r="A13" s="41">
        <v>112208</v>
      </c>
      <c r="B13" t="s">
        <v>57</v>
      </c>
      <c r="C13" s="162"/>
      <c r="D13" s="128">
        <f>SUMIFS(PP[借金额],PP[科目代码],cc[[#This Row],[科目代码]])</f>
        <v>48000</v>
      </c>
      <c r="E13" s="128">
        <f>SUMIFS(PP[贷金额],PP[科目代码],cc[[#This Row],[科目代码]])</f>
        <v>0</v>
      </c>
      <c r="F13" s="127" t="str">
        <f>IF(AND(D13=0,E13=0),IF(VLOOKUP(A13,KMDM[#Data],4,FALSE)=1,IF(C13&gt;0,"借","贷"),IF(VLOOKUP(A13,KMDM[#Data],4,FALSE)=-1,IF(C13&gt;0,"贷","借"),"平")),IF(VLOOKUP(cc[[#This Row],[科目代码]],KMDM[#Data],4,FALSE)=1,IF(cc[[#This Row],[年初数]]+cc[[#This Row],[借方]]-cc[[#This Row],[贷方]]&gt;0,"借","贷"),IF(VLOOKUP(cc[[#This Row],[科目代码]],KMDM[#Data],4,FALSE)=-1,IF(cc[[#This Row],[年初数]]-cc[[#This Row],[借方]]+cc[[#This Row],[贷方]]&gt;0,"贷",IF(cc[[#This Row],[年初数]]-cc[[#This Row],[借方]]+cc[[#This Row],[贷方]]&lt;0,"借","平")))))</f>
        <v>借</v>
      </c>
      <c r="G13" s="128">
        <f>IF(IF(VLOOKUP(cc[[#This Row],[科目代码]],KMDM[#Data],4,FALSE)=1,cc[[#This Row],[年初数]]+cc[[#This Row],[借方]]-cc[[#This Row],[贷方]],cc[[#This Row],[年初数]]-cc[[#This Row],[借方]]+cc[[#This Row],[贷方]])&lt;0,IF(VLOOKUP(cc[[#This Row],[科目代码]],KMDM[#Data],4,FALSE)=1,cc[[#This Row],[年初数]]+cc[[#This Row],[借方]]-cc[[#This Row],[贷方]],cc[[#This Row],[年初数]]-cc[[#This Row],[借方]]+cc[[#This Row],[贷方]])*(-1),IF(VLOOKUP(cc[[#This Row],[科目代码]],KMDM[#Data],4,FALSE)=1,cc[[#This Row],[年初数]]+cc[[#This Row],[借方]]-cc[[#This Row],[贷方]],cc[[#This Row],[年初数]]-cc[[#This Row],[借方]]+cc[[#This Row],[贷方]]))</f>
        <v>48000</v>
      </c>
    </row>
    <row r="14" spans="1:7">
      <c r="A14" s="41">
        <v>112209</v>
      </c>
      <c r="B14" t="s">
        <v>58</v>
      </c>
      <c r="C14" s="162"/>
      <c r="D14" s="128">
        <f>SUMIFS(PP[借金额],PP[科目代码],cc[[#This Row],[科目代码]])</f>
        <v>8668</v>
      </c>
      <c r="E14" s="128">
        <f>SUMIFS(PP[贷金额],PP[科目代码],cc[[#This Row],[科目代码]])</f>
        <v>0</v>
      </c>
      <c r="F14" s="127" t="str">
        <f>IF(AND(D14=0,E14=0),IF(VLOOKUP(A14,KMDM[#Data],4,FALSE)=1,IF(C14&gt;0,"借","贷"),IF(VLOOKUP(A14,KMDM[#Data],4,FALSE)=-1,IF(C14&gt;0,"贷","借"),"平")),IF(VLOOKUP(cc[[#This Row],[科目代码]],KMDM[#Data],4,FALSE)=1,IF(cc[[#This Row],[年初数]]+cc[[#This Row],[借方]]-cc[[#This Row],[贷方]]&gt;0,"借","贷"),IF(VLOOKUP(cc[[#This Row],[科目代码]],KMDM[#Data],4,FALSE)=-1,IF(cc[[#This Row],[年初数]]-cc[[#This Row],[借方]]+cc[[#This Row],[贷方]]&gt;0,"贷",IF(cc[[#This Row],[年初数]]-cc[[#This Row],[借方]]+cc[[#This Row],[贷方]]&lt;0,"借","平")))))</f>
        <v>借</v>
      </c>
      <c r="G14" s="128">
        <f>IF(IF(VLOOKUP(cc[[#This Row],[科目代码]],KMDM[#Data],4,FALSE)=1,cc[[#This Row],[年初数]]+cc[[#This Row],[借方]]-cc[[#This Row],[贷方]],cc[[#This Row],[年初数]]-cc[[#This Row],[借方]]+cc[[#This Row],[贷方]])&lt;0,IF(VLOOKUP(cc[[#This Row],[科目代码]],KMDM[#Data],4,FALSE)=1,cc[[#This Row],[年初数]]+cc[[#This Row],[借方]]-cc[[#This Row],[贷方]],cc[[#This Row],[年初数]]-cc[[#This Row],[借方]]+cc[[#This Row],[贷方]])*(-1),IF(VLOOKUP(cc[[#This Row],[科目代码]],KMDM[#Data],4,FALSE)=1,cc[[#This Row],[年初数]]+cc[[#This Row],[借方]]-cc[[#This Row],[贷方]],cc[[#This Row],[年初数]]-cc[[#This Row],[借方]]+cc[[#This Row],[贷方]]))</f>
        <v>8668</v>
      </c>
    </row>
    <row r="15" spans="1:7">
      <c r="A15" s="41">
        <v>112210</v>
      </c>
      <c r="B15" t="s">
        <v>59</v>
      </c>
      <c r="C15" s="162"/>
      <c r="D15" s="128">
        <f>SUMIFS(PP[借金额],PP[科目代码],cc[[#This Row],[科目代码]])</f>
        <v>416000</v>
      </c>
      <c r="E15" s="128">
        <f>SUMIFS(PP[贷金额],PP[科目代码],cc[[#This Row],[科目代码]])</f>
        <v>382000</v>
      </c>
      <c r="F15" s="127" t="str">
        <f>IF(AND(D15=0,E15=0),IF(VLOOKUP(A15,KMDM[#Data],4,FALSE)=1,IF(C15&gt;0,"借","贷"),IF(VLOOKUP(A15,KMDM[#Data],4,FALSE)=-1,IF(C15&gt;0,"贷","借"),"平")),IF(VLOOKUP(cc[[#This Row],[科目代码]],KMDM[#Data],4,FALSE)=1,IF(cc[[#This Row],[年初数]]+cc[[#This Row],[借方]]-cc[[#This Row],[贷方]]&gt;0,"借","贷"),IF(VLOOKUP(cc[[#This Row],[科目代码]],KMDM[#Data],4,FALSE)=-1,IF(cc[[#This Row],[年初数]]-cc[[#This Row],[借方]]+cc[[#This Row],[贷方]]&gt;0,"贷",IF(cc[[#This Row],[年初数]]-cc[[#This Row],[借方]]+cc[[#This Row],[贷方]]&lt;0,"借","平")))))</f>
        <v>借</v>
      </c>
      <c r="G15" s="128">
        <f>IF(IF(VLOOKUP(cc[[#This Row],[科目代码]],KMDM[#Data],4,FALSE)=1,cc[[#This Row],[年初数]]+cc[[#This Row],[借方]]-cc[[#This Row],[贷方]],cc[[#This Row],[年初数]]-cc[[#This Row],[借方]]+cc[[#This Row],[贷方]])&lt;0,IF(VLOOKUP(cc[[#This Row],[科目代码]],KMDM[#Data],4,FALSE)=1,cc[[#This Row],[年初数]]+cc[[#This Row],[借方]]-cc[[#This Row],[贷方]],cc[[#This Row],[年初数]]-cc[[#This Row],[借方]]+cc[[#This Row],[贷方]])*(-1),IF(VLOOKUP(cc[[#This Row],[科目代码]],KMDM[#Data],4,FALSE)=1,cc[[#This Row],[年初数]]+cc[[#This Row],[借方]]-cc[[#This Row],[贷方]],cc[[#This Row],[年初数]]-cc[[#This Row],[借方]]+cc[[#This Row],[贷方]]))</f>
        <v>34000</v>
      </c>
    </row>
    <row r="16" spans="1:7">
      <c r="A16" s="41">
        <v>112211</v>
      </c>
      <c r="B16" t="s">
        <v>60</v>
      </c>
      <c r="C16" s="162"/>
      <c r="D16" s="128">
        <f>SUMIFS(PP[借金额],PP[科目代码],cc[[#This Row],[科目代码]])</f>
        <v>12000</v>
      </c>
      <c r="E16" s="128">
        <f>SUMIFS(PP[贷金额],PP[科目代码],cc[[#This Row],[科目代码]])</f>
        <v>12000</v>
      </c>
      <c r="F16" s="127" t="str">
        <f>IF(AND(D16=0,E16=0),IF(VLOOKUP(A16,KMDM[#Data],4,FALSE)=1,IF(C16&gt;0,"借","贷"),IF(VLOOKUP(A16,KMDM[#Data],4,FALSE)=-1,IF(C16&gt;0,"贷","借"),"平")),IF(VLOOKUP(cc[[#This Row],[科目代码]],KMDM[#Data],4,FALSE)=1,IF(cc[[#This Row],[年初数]]+cc[[#This Row],[借方]]-cc[[#This Row],[贷方]]&gt;0,"借","贷"),IF(VLOOKUP(cc[[#This Row],[科目代码]],KMDM[#Data],4,FALSE)=-1,IF(cc[[#This Row],[年初数]]-cc[[#This Row],[借方]]+cc[[#This Row],[贷方]]&gt;0,"贷",IF(cc[[#This Row],[年初数]]-cc[[#This Row],[借方]]+cc[[#This Row],[贷方]]&lt;0,"借","平")))))</f>
        <v>贷</v>
      </c>
      <c r="G16" s="128">
        <f>IF(IF(VLOOKUP(cc[[#This Row],[科目代码]],KMDM[#Data],4,FALSE)=1,cc[[#This Row],[年初数]]+cc[[#This Row],[借方]]-cc[[#This Row],[贷方]],cc[[#This Row],[年初数]]-cc[[#This Row],[借方]]+cc[[#This Row],[贷方]])&lt;0,IF(VLOOKUP(cc[[#This Row],[科目代码]],KMDM[#Data],4,FALSE)=1,cc[[#This Row],[年初数]]+cc[[#This Row],[借方]]-cc[[#This Row],[贷方]],cc[[#This Row],[年初数]]-cc[[#This Row],[借方]]+cc[[#This Row],[贷方]])*(-1),IF(VLOOKUP(cc[[#This Row],[科目代码]],KMDM[#Data],4,FALSE)=1,cc[[#This Row],[年初数]]+cc[[#This Row],[借方]]-cc[[#This Row],[贷方]],cc[[#This Row],[年初数]]-cc[[#This Row],[借方]]+cc[[#This Row],[贷方]]))</f>
        <v>0</v>
      </c>
    </row>
    <row r="17" spans="1:7">
      <c r="A17" s="41">
        <v>112212</v>
      </c>
      <c r="B17" t="s">
        <v>61</v>
      </c>
      <c r="C17" s="162"/>
      <c r="D17" s="128">
        <f>SUMIFS(PP[借金额],PP[科目代码],cc[[#This Row],[科目代码]])</f>
        <v>8000</v>
      </c>
      <c r="E17" s="128">
        <f>SUMIFS(PP[贷金额],PP[科目代码],cc[[#This Row],[科目代码]])</f>
        <v>0</v>
      </c>
      <c r="F17" s="127" t="str">
        <f>IF(AND(D17=0,E17=0),IF(VLOOKUP(A17,KMDM[#Data],4,FALSE)=1,IF(C17&gt;0,"借","贷"),IF(VLOOKUP(A17,KMDM[#Data],4,FALSE)=-1,IF(C17&gt;0,"贷","借"),"平")),IF(VLOOKUP(cc[[#This Row],[科目代码]],KMDM[#Data],4,FALSE)=1,IF(cc[[#This Row],[年初数]]+cc[[#This Row],[借方]]-cc[[#This Row],[贷方]]&gt;0,"借","贷"),IF(VLOOKUP(cc[[#This Row],[科目代码]],KMDM[#Data],4,FALSE)=-1,IF(cc[[#This Row],[年初数]]-cc[[#This Row],[借方]]+cc[[#This Row],[贷方]]&gt;0,"贷",IF(cc[[#This Row],[年初数]]-cc[[#This Row],[借方]]+cc[[#This Row],[贷方]]&lt;0,"借","平")))))</f>
        <v>借</v>
      </c>
      <c r="G17" s="128">
        <f>IF(IF(VLOOKUP(cc[[#This Row],[科目代码]],KMDM[#Data],4,FALSE)=1,cc[[#This Row],[年初数]]+cc[[#This Row],[借方]]-cc[[#This Row],[贷方]],cc[[#This Row],[年初数]]-cc[[#This Row],[借方]]+cc[[#This Row],[贷方]])&lt;0,IF(VLOOKUP(cc[[#This Row],[科目代码]],KMDM[#Data],4,FALSE)=1,cc[[#This Row],[年初数]]+cc[[#This Row],[借方]]-cc[[#This Row],[贷方]],cc[[#This Row],[年初数]]-cc[[#This Row],[借方]]+cc[[#This Row],[贷方]])*(-1),IF(VLOOKUP(cc[[#This Row],[科目代码]],KMDM[#Data],4,FALSE)=1,cc[[#This Row],[年初数]]+cc[[#This Row],[借方]]-cc[[#This Row],[贷方]],cc[[#This Row],[年初数]]-cc[[#This Row],[借方]]+cc[[#This Row],[贷方]]))</f>
        <v>8000</v>
      </c>
    </row>
    <row r="18" spans="1:7">
      <c r="A18" s="41">
        <v>112213</v>
      </c>
      <c r="B18" t="s">
        <v>62</v>
      </c>
      <c r="C18" s="162"/>
      <c r="D18" s="128">
        <f>SUMIFS(PP[借金额],PP[科目代码],cc[[#This Row],[科目代码]])</f>
        <v>412800</v>
      </c>
      <c r="E18" s="128">
        <f>SUMIFS(PP[贷金额],PP[科目代码],cc[[#This Row],[科目代码]])</f>
        <v>0</v>
      </c>
      <c r="F18" s="127" t="str">
        <f>IF(AND(D18=0,E18=0),IF(VLOOKUP(A18,KMDM[#Data],4,FALSE)=1,IF(C18&gt;0,"借","贷"),IF(VLOOKUP(A18,KMDM[#Data],4,FALSE)=-1,IF(C18&gt;0,"贷","借"),"平")),IF(VLOOKUP(cc[[#This Row],[科目代码]],KMDM[#Data],4,FALSE)=1,IF(cc[[#This Row],[年初数]]+cc[[#This Row],[借方]]-cc[[#This Row],[贷方]]&gt;0,"借","贷"),IF(VLOOKUP(cc[[#This Row],[科目代码]],KMDM[#Data],4,FALSE)=-1,IF(cc[[#This Row],[年初数]]-cc[[#This Row],[借方]]+cc[[#This Row],[贷方]]&gt;0,"贷",IF(cc[[#This Row],[年初数]]-cc[[#This Row],[借方]]+cc[[#This Row],[贷方]]&lt;0,"借","平")))))</f>
        <v>借</v>
      </c>
      <c r="G18" s="128">
        <f>IF(IF(VLOOKUP(cc[[#This Row],[科目代码]],KMDM[#Data],4,FALSE)=1,cc[[#This Row],[年初数]]+cc[[#This Row],[借方]]-cc[[#This Row],[贷方]],cc[[#This Row],[年初数]]-cc[[#This Row],[借方]]+cc[[#This Row],[贷方]])&lt;0,IF(VLOOKUP(cc[[#This Row],[科目代码]],KMDM[#Data],4,FALSE)=1,cc[[#This Row],[年初数]]+cc[[#This Row],[借方]]-cc[[#This Row],[贷方]],cc[[#This Row],[年初数]]-cc[[#This Row],[借方]]+cc[[#This Row],[贷方]])*(-1),IF(VLOOKUP(cc[[#This Row],[科目代码]],KMDM[#Data],4,FALSE)=1,cc[[#This Row],[年初数]]+cc[[#This Row],[借方]]-cc[[#This Row],[贷方]],cc[[#This Row],[年初数]]-cc[[#This Row],[借方]]+cc[[#This Row],[贷方]]))</f>
        <v>412800</v>
      </c>
    </row>
    <row r="19" spans="1:7">
      <c r="A19" s="41">
        <v>112214</v>
      </c>
      <c r="B19" t="s">
        <v>63</v>
      </c>
      <c r="C19" s="162"/>
      <c r="D19" s="128">
        <f>SUMIFS(PP[借金额],PP[科目代码],cc[[#This Row],[科目代码]])</f>
        <v>23000</v>
      </c>
      <c r="E19" s="128">
        <f>SUMIFS(PP[贷金额],PP[科目代码],cc[[#This Row],[科目代码]])</f>
        <v>0</v>
      </c>
      <c r="F19" s="127" t="str">
        <f>IF(AND(D19=0,E19=0),IF(VLOOKUP(A19,KMDM[#Data],4,FALSE)=1,IF(C19&gt;0,"借","贷"),IF(VLOOKUP(A19,KMDM[#Data],4,FALSE)=-1,IF(C19&gt;0,"贷","借"),"平")),IF(VLOOKUP(cc[[#This Row],[科目代码]],KMDM[#Data],4,FALSE)=1,IF(cc[[#This Row],[年初数]]+cc[[#This Row],[借方]]-cc[[#This Row],[贷方]]&gt;0,"借","贷"),IF(VLOOKUP(cc[[#This Row],[科目代码]],KMDM[#Data],4,FALSE)=-1,IF(cc[[#This Row],[年初数]]-cc[[#This Row],[借方]]+cc[[#This Row],[贷方]]&gt;0,"贷",IF(cc[[#This Row],[年初数]]-cc[[#This Row],[借方]]+cc[[#This Row],[贷方]]&lt;0,"借","平")))))</f>
        <v>借</v>
      </c>
      <c r="G19" s="128">
        <f>IF(IF(VLOOKUP(cc[[#This Row],[科目代码]],KMDM[#Data],4,FALSE)=1,cc[[#This Row],[年初数]]+cc[[#This Row],[借方]]-cc[[#This Row],[贷方]],cc[[#This Row],[年初数]]-cc[[#This Row],[借方]]+cc[[#This Row],[贷方]])&lt;0,IF(VLOOKUP(cc[[#This Row],[科目代码]],KMDM[#Data],4,FALSE)=1,cc[[#This Row],[年初数]]+cc[[#This Row],[借方]]-cc[[#This Row],[贷方]],cc[[#This Row],[年初数]]-cc[[#This Row],[借方]]+cc[[#This Row],[贷方]])*(-1),IF(VLOOKUP(cc[[#This Row],[科目代码]],KMDM[#Data],4,FALSE)=1,cc[[#This Row],[年初数]]+cc[[#This Row],[借方]]-cc[[#This Row],[贷方]],cc[[#This Row],[年初数]]-cc[[#This Row],[借方]]+cc[[#This Row],[贷方]]))</f>
        <v>23000</v>
      </c>
    </row>
    <row r="20" spans="1:7">
      <c r="A20" s="41" t="s">
        <v>1128</v>
      </c>
      <c r="C20" s="162">
        <f>SUBTOTAL(109,cc[年初数])</f>
        <v>227060</v>
      </c>
      <c r="D20" s="162">
        <f>SUBTOTAL(109,cc[借方])</f>
        <v>1159970.8</v>
      </c>
      <c r="E20" s="162">
        <f>SUBTOTAL(109,cc[贷方])</f>
        <v>832112.8</v>
      </c>
      <c r="F20" s="41"/>
      <c r="G20" s="162">
        <f>IF(VLOOKUP((A4&amp;"01")*1,KMDM[#Data],4,FALSE)=1,cc[[#Totals],[年初数]]+cc[[#Totals],[借方]]-cc[[#Totals],[贷方]],cc[[#Totals],[年初数]]-cc[[#Totals],[借方]]+cc[[#Totals],[贷方]])</f>
        <v>554918</v>
      </c>
    </row>
  </sheetData>
  <mergeCells count="1">
    <mergeCell ref="A1:G1"/>
  </mergeCells>
  <pageMargins left="0.699305555555556" right="0.699305555555556" top="0.75" bottom="0.75" header="0.3" footer="0.3"/>
  <pageSetup paperSize="9" orientation="portrait" horizontalDpi="180" verticalDpi="180"/>
  <headerFooter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>
    <tabColor rgb="FFFF0000"/>
    <pageSetUpPr autoPageBreaks="0"/>
  </sheetPr>
  <dimension ref="A1:S310"/>
  <sheetViews>
    <sheetView showGridLines="0" showZeros="0" showOutlineSymbols="0" workbookViewId="0">
      <selection activeCell="A1" sqref="A1"/>
    </sheetView>
  </sheetViews>
  <sheetFormatPr defaultColWidth="9" defaultRowHeight="15"/>
  <cols>
    <col min="1" max="1" width="5.5047619047619" customWidth="1"/>
    <col min="2" max="2" width="4.75238095238095" style="41" customWidth="1"/>
    <col min="3" max="3" width="5.62857142857143" style="41" customWidth="1"/>
    <col min="4" max="4" width="5.12380952380952" style="41" customWidth="1"/>
    <col min="5" max="5" width="27.752380952381" customWidth="1"/>
    <col min="6" max="6" width="8.5047619047619" hidden="1" customWidth="1"/>
    <col min="7" max="7" width="6.62857142857143" hidden="1" customWidth="1"/>
    <col min="8" max="8" width="15.3714285714286" customWidth="1"/>
    <col min="9" max="9" width="3.37142857142857" customWidth="1"/>
    <col min="10" max="10" width="16.5047619047619" customWidth="1"/>
    <col min="11" max="11" width="4.5047619047619" customWidth="1"/>
    <col min="12" max="12" width="6.62857142857143" style="41" customWidth="1"/>
    <col min="13" max="13" width="15.3714285714286" style="129" hidden="1" customWidth="1"/>
    <col min="14" max="14" width="15.3714285714286" style="41" hidden="1" customWidth="1"/>
    <col min="15" max="15" width="21.752380952381" customWidth="1"/>
    <col min="16" max="16" width="2.5047619047619" customWidth="1"/>
  </cols>
  <sheetData>
    <row r="1" ht="26.25" customHeight="1" spans="2:15">
      <c r="B1" s="130"/>
      <c r="C1" s="131"/>
      <c r="D1" s="131"/>
      <c r="E1" s="132" t="s">
        <v>1135</v>
      </c>
      <c r="F1" s="132"/>
      <c r="G1" s="132"/>
      <c r="H1" s="132"/>
      <c r="I1" s="132"/>
      <c r="J1" s="132"/>
      <c r="K1" s="164"/>
      <c r="L1" s="164"/>
      <c r="M1" s="165"/>
      <c r="N1" s="166"/>
      <c r="O1" s="167" t="s">
        <v>1136</v>
      </c>
    </row>
    <row r="2" ht="18" hidden="1" customHeight="1" spans="2:14">
      <c r="B2" s="133">
        <v>2</v>
      </c>
      <c r="C2" s="134"/>
      <c r="D2" s="134"/>
      <c r="E2" s="135" t="s">
        <v>1137</v>
      </c>
      <c r="F2" s="135"/>
      <c r="J2" s="168"/>
      <c r="K2" s="169"/>
      <c r="M2"/>
      <c r="N2"/>
    </row>
    <row r="3" ht="24" customHeight="1" spans="2:16">
      <c r="B3" s="136" t="s">
        <v>1138</v>
      </c>
      <c r="C3" s="137">
        <v>140501</v>
      </c>
      <c r="D3" s="137"/>
      <c r="E3" s="138" t="str">
        <f>VLOOKUP(C3,KMDM[#Data],2,FALSE)&amp;"----"&amp;VLOOKUP(C3,KMDM[#Data],3,FALSE)</f>
        <v>库存商品----仓库</v>
      </c>
      <c r="F3" s="138"/>
      <c r="G3" s="138"/>
      <c r="H3" s="138"/>
      <c r="I3" s="138"/>
      <c r="J3" s="138"/>
      <c r="K3" s="170"/>
      <c r="L3" s="170"/>
      <c r="M3" s="171"/>
      <c r="N3" s="171"/>
      <c r="O3" s="172"/>
      <c r="P3" s="173"/>
    </row>
    <row r="4" ht="16.5" customHeight="1" spans="1:17">
      <c r="A4" s="139"/>
      <c r="B4" s="140">
        <f>单位信息!B2</f>
        <v>2014</v>
      </c>
      <c r="C4" s="141"/>
      <c r="D4" s="142" t="s">
        <v>1139</v>
      </c>
      <c r="E4" s="143" t="s">
        <v>1140</v>
      </c>
      <c r="F4" s="144" t="s">
        <v>41</v>
      </c>
      <c r="G4" s="145" t="s">
        <v>42</v>
      </c>
      <c r="H4" s="146" t="s">
        <v>207</v>
      </c>
      <c r="I4" s="174" t="s">
        <v>1141</v>
      </c>
      <c r="J4" s="175" t="s">
        <v>208</v>
      </c>
      <c r="K4" s="176" t="s">
        <v>1141</v>
      </c>
      <c r="L4" s="177" t="s">
        <v>1123</v>
      </c>
      <c r="M4" s="178" t="s">
        <v>1142</v>
      </c>
      <c r="N4" s="179" t="s">
        <v>42</v>
      </c>
      <c r="O4" s="180" t="s">
        <v>1143</v>
      </c>
      <c r="P4" s="42"/>
      <c r="Q4" s="42"/>
    </row>
    <row r="5" spans="1:19">
      <c r="A5" s="139"/>
      <c r="B5" s="147" t="s">
        <v>186</v>
      </c>
      <c r="C5" s="148" t="s">
        <v>187</v>
      </c>
      <c r="D5" s="149"/>
      <c r="E5" s="150"/>
      <c r="F5" s="151"/>
      <c r="G5" s="152"/>
      <c r="H5" s="153"/>
      <c r="I5" s="181"/>
      <c r="J5" s="182"/>
      <c r="K5" s="181"/>
      <c r="L5" s="149"/>
      <c r="M5" s="183"/>
      <c r="N5" s="184"/>
      <c r="O5" s="185"/>
      <c r="P5" s="42"/>
      <c r="Q5" s="42"/>
      <c r="S5" s="41"/>
    </row>
    <row r="6" ht="15.75" customHeight="1" spans="1:17">
      <c r="A6" s="139"/>
      <c r="B6" s="154">
        <v>1</v>
      </c>
      <c r="C6" s="155">
        <v>1</v>
      </c>
      <c r="D6" s="156"/>
      <c r="E6" s="157" t="s">
        <v>1129</v>
      </c>
      <c r="F6" s="158"/>
      <c r="G6" s="159"/>
      <c r="H6" s="160"/>
      <c r="I6" s="160"/>
      <c r="J6" s="186"/>
      <c r="K6" s="187"/>
      <c r="L6" s="188" t="str">
        <f>IF(VLOOKUP(C3*1,KMDM[#Data],9,FALSE)&gt;0,IF(VLOOKUP(C3*1,KMDM[#Data],4,FALSE)&gt;0,"借","贷"),IF(VLOOKUP(C3*1,KMDM[#Data],9,FALSE)&lt;0,IF(VLOOKUP(C3*1,KMDM[#Data],4,FALSE)&gt;0,"贷","借"),"平"))</f>
        <v>借</v>
      </c>
      <c r="M6" s="189">
        <f>VLOOKUP(C3*1,KMDM[#Data],6,FALSE)</f>
        <v>0</v>
      </c>
      <c r="N6" s="190">
        <f>VLOOKUP(C3*1,KMDM[#Data],7,FALSE)</f>
        <v>0</v>
      </c>
      <c r="O6" s="191">
        <f>IF(VLOOKUP(C3*1,KMDM[#Data],9,FALSE)&gt;0,VLOOKUP(C3*1,KMDM[#Data],9,FALSE),VLOOKUP(C3*1,KMDM[#Data],9,FALSE)*(-1))</f>
        <v>205158.97</v>
      </c>
      <c r="P6" s="42"/>
      <c r="Q6" s="42"/>
    </row>
    <row r="7" hidden="1" spans="2:15">
      <c r="B7" s="41" t="s">
        <v>186</v>
      </c>
      <c r="C7" s="41" t="s">
        <v>187</v>
      </c>
      <c r="D7" s="41" t="s">
        <v>188</v>
      </c>
      <c r="E7" t="s">
        <v>206</v>
      </c>
      <c r="F7" t="s">
        <v>41</v>
      </c>
      <c r="G7" t="s">
        <v>42</v>
      </c>
      <c r="H7" t="s">
        <v>207</v>
      </c>
      <c r="I7" t="s">
        <v>210</v>
      </c>
      <c r="J7" t="s">
        <v>208</v>
      </c>
      <c r="K7" t="s">
        <v>1144</v>
      </c>
      <c r="L7" s="41" t="s">
        <v>1145</v>
      </c>
      <c r="M7" s="129" t="s">
        <v>1146</v>
      </c>
      <c r="N7" s="41" t="s">
        <v>1133</v>
      </c>
      <c r="O7" t="s">
        <v>1134</v>
      </c>
    </row>
    <row r="8" spans="2:15">
      <c r="B8" s="41">
        <v>1</v>
      </c>
      <c r="C8" s="41">
        <v>20</v>
      </c>
      <c r="D8" s="41">
        <v>24</v>
      </c>
      <c r="E8" s="1" t="s">
        <v>54</v>
      </c>
      <c r="F8" s="161"/>
      <c r="G8" s="161"/>
      <c r="H8" s="162">
        <v>1350.43</v>
      </c>
      <c r="I8" s="192"/>
      <c r="J8" s="162">
        <v>0</v>
      </c>
      <c r="K8" s="192"/>
      <c r="L8" s="193" t="str">
        <f t="shared" ref="L8:L34" si="0">IF(ROW()=8,IF(O6+H8-J8=O8,"借",IF(O6-H8+J8=O8,"贷",IF(O6+H8-J8&lt;0,"贷",IF(O6-H8+J8&lt;0,"借","平")))),IF(O7+H8-J8=O8,"借",IF(O7-H8+J8=O8,"贷",IF(O7+H8-J8&lt;0,"贷",IF(O7-H8+J8&lt;0,"借","平")))))</f>
        <v>借</v>
      </c>
      <c r="M8" s="162"/>
      <c r="N8" s="162"/>
      <c r="O8" s="162">
        <f t="shared" ref="O8:O34" si="1">IF(IF(ROW()=8,IF(L6="借",O6+H8-J8,O6+J8-H8),IF(L7="借",O7+H8-J8,O7+J8-H8))&lt;0,IF(ROW()=8,IF(L6="借",O6+H8-J8,O6+J8-H8),IF(L7="借",O7+H8-J8,O7+J8-H8))*(-1),IF(ROW()=8,IF(L6="借",O6+H8-J8,O6+J8-H8),IF(L7="借",O7+H8-J8,O7+J8-H8)))</f>
        <v>206509.4</v>
      </c>
    </row>
    <row r="9" spans="2:15">
      <c r="B9" s="41">
        <v>2</v>
      </c>
      <c r="C9" s="41">
        <v>27</v>
      </c>
      <c r="D9" s="41">
        <v>10</v>
      </c>
      <c r="E9" s="118" t="s">
        <v>367</v>
      </c>
      <c r="F9" s="161"/>
      <c r="G9" s="161"/>
      <c r="H9" s="162">
        <v>0</v>
      </c>
      <c r="I9" s="192"/>
      <c r="J9" s="162">
        <v>1350.43</v>
      </c>
      <c r="K9" s="192"/>
      <c r="L9" s="193" t="str">
        <f t="shared" si="0"/>
        <v>借</v>
      </c>
      <c r="M9" s="162"/>
      <c r="N9" s="162"/>
      <c r="O9" s="162">
        <f t="shared" si="1"/>
        <v>205158.97</v>
      </c>
    </row>
    <row r="10" spans="2:15">
      <c r="B10" s="41">
        <v>3</v>
      </c>
      <c r="C10" s="41">
        <v>20</v>
      </c>
      <c r="D10" s="41">
        <v>22</v>
      </c>
      <c r="E10" s="118" t="s">
        <v>423</v>
      </c>
      <c r="F10" s="161"/>
      <c r="G10" s="161"/>
      <c r="H10" s="162">
        <v>187</v>
      </c>
      <c r="I10" s="192"/>
      <c r="J10" s="162">
        <v>0</v>
      </c>
      <c r="K10" s="192"/>
      <c r="L10" s="193" t="str">
        <f t="shared" si="0"/>
        <v>借</v>
      </c>
      <c r="M10" s="162"/>
      <c r="N10" s="162"/>
      <c r="O10" s="162">
        <f t="shared" si="1"/>
        <v>205345.97</v>
      </c>
    </row>
    <row r="11" spans="2:15">
      <c r="B11" s="41">
        <v>4</v>
      </c>
      <c r="C11" s="41">
        <v>21</v>
      </c>
      <c r="D11" s="41">
        <v>14</v>
      </c>
      <c r="E11" s="118" t="s">
        <v>54</v>
      </c>
      <c r="F11" s="161"/>
      <c r="G11" s="161"/>
      <c r="H11" s="162">
        <v>846.15</v>
      </c>
      <c r="I11" s="192"/>
      <c r="J11" s="162">
        <v>0</v>
      </c>
      <c r="K11" s="192"/>
      <c r="L11" s="193" t="str">
        <f t="shared" si="0"/>
        <v>借</v>
      </c>
      <c r="M11" s="162"/>
      <c r="N11" s="162"/>
      <c r="O11" s="162">
        <f t="shared" si="1"/>
        <v>206192.12</v>
      </c>
    </row>
    <row r="12" spans="2:15">
      <c r="B12" s="41">
        <v>4</v>
      </c>
      <c r="C12" s="41">
        <v>30</v>
      </c>
      <c r="D12" s="41">
        <v>45</v>
      </c>
      <c r="E12" s="118" t="s">
        <v>553</v>
      </c>
      <c r="F12" s="161"/>
      <c r="G12" s="161"/>
      <c r="H12" s="162">
        <v>0</v>
      </c>
      <c r="I12" s="192"/>
      <c r="J12" s="162">
        <v>187</v>
      </c>
      <c r="K12" s="192"/>
      <c r="L12" s="193" t="str">
        <f t="shared" si="0"/>
        <v>借</v>
      </c>
      <c r="M12" s="162"/>
      <c r="N12" s="162"/>
      <c r="O12" s="162">
        <f t="shared" si="1"/>
        <v>206005.12</v>
      </c>
    </row>
    <row r="13" spans="2:17">
      <c r="B13" s="41">
        <v>5</v>
      </c>
      <c r="C13" s="41">
        <v>20</v>
      </c>
      <c r="D13" s="41">
        <v>21</v>
      </c>
      <c r="E13" s="118" t="s">
        <v>54</v>
      </c>
      <c r="F13" s="161"/>
      <c r="G13" s="161"/>
      <c r="H13" s="162">
        <v>307.69</v>
      </c>
      <c r="I13" s="192"/>
      <c r="J13" s="162">
        <v>0</v>
      </c>
      <c r="K13" s="192"/>
      <c r="L13" s="193" t="str">
        <f t="shared" si="0"/>
        <v>借</v>
      </c>
      <c r="M13" s="162"/>
      <c r="N13" s="162"/>
      <c r="O13" s="162">
        <f t="shared" si="1"/>
        <v>206312.81</v>
      </c>
      <c r="Q13" s="42"/>
    </row>
    <row r="14" spans="2:15">
      <c r="B14" s="41">
        <v>5</v>
      </c>
      <c r="C14" s="41">
        <v>20</v>
      </c>
      <c r="D14" s="41">
        <v>22</v>
      </c>
      <c r="E14" s="118" t="s">
        <v>596</v>
      </c>
      <c r="F14" s="161"/>
      <c r="G14" s="161"/>
      <c r="H14" s="162">
        <v>0</v>
      </c>
      <c r="I14" s="192"/>
      <c r="J14" s="162">
        <v>360</v>
      </c>
      <c r="K14" s="192"/>
      <c r="L14" s="193" t="str">
        <f t="shared" si="0"/>
        <v>借</v>
      </c>
      <c r="M14" s="162"/>
      <c r="N14" s="162"/>
      <c r="O14" s="162">
        <f t="shared" si="1"/>
        <v>205952.81</v>
      </c>
    </row>
    <row r="15" spans="2:15">
      <c r="B15" s="41">
        <v>5</v>
      </c>
      <c r="C15" s="41">
        <v>20</v>
      </c>
      <c r="D15" s="41">
        <v>22</v>
      </c>
      <c r="E15" s="118" t="s">
        <v>596</v>
      </c>
      <c r="F15" s="161"/>
      <c r="G15" s="161"/>
      <c r="H15" s="162">
        <v>0</v>
      </c>
      <c r="I15" s="192"/>
      <c r="J15" s="162">
        <v>70</v>
      </c>
      <c r="K15" s="192"/>
      <c r="L15" s="193" t="str">
        <f t="shared" si="0"/>
        <v>借</v>
      </c>
      <c r="M15" s="162"/>
      <c r="N15" s="162"/>
      <c r="O15" s="162">
        <f t="shared" si="1"/>
        <v>205882.81</v>
      </c>
    </row>
    <row r="16" spans="2:19">
      <c r="B16" s="41">
        <v>6</v>
      </c>
      <c r="C16" s="41">
        <v>30</v>
      </c>
      <c r="D16" s="41">
        <v>39</v>
      </c>
      <c r="E16" s="118" t="s">
        <v>669</v>
      </c>
      <c r="F16" s="161"/>
      <c r="G16" s="161"/>
      <c r="H16" s="162">
        <v>556.4</v>
      </c>
      <c r="I16" s="192"/>
      <c r="J16" s="162">
        <v>0</v>
      </c>
      <c r="K16" s="192"/>
      <c r="L16" s="193" t="str">
        <f t="shared" si="0"/>
        <v>借</v>
      </c>
      <c r="M16" s="162"/>
      <c r="N16" s="162"/>
      <c r="O16" s="162">
        <f t="shared" si="1"/>
        <v>206439.21</v>
      </c>
      <c r="R16" s="42"/>
      <c r="S16" s="42"/>
    </row>
    <row r="17" spans="2:15">
      <c r="B17" s="41">
        <v>6</v>
      </c>
      <c r="C17" s="41">
        <v>30</v>
      </c>
      <c r="D17" s="41">
        <v>42</v>
      </c>
      <c r="E17" s="118" t="s">
        <v>553</v>
      </c>
      <c r="F17" s="161"/>
      <c r="G17" s="161"/>
      <c r="H17" s="162">
        <v>0</v>
      </c>
      <c r="I17" s="192"/>
      <c r="J17" s="162">
        <v>846.15</v>
      </c>
      <c r="K17" s="192"/>
      <c r="L17" s="193" t="str">
        <f t="shared" si="0"/>
        <v>借</v>
      </c>
      <c r="M17" s="162"/>
      <c r="N17" s="162"/>
      <c r="O17" s="162">
        <f t="shared" si="1"/>
        <v>205593.06</v>
      </c>
    </row>
    <row r="18" spans="2:15">
      <c r="B18" s="41">
        <v>8</v>
      </c>
      <c r="C18" s="41">
        <v>30</v>
      </c>
      <c r="D18" s="41">
        <v>30</v>
      </c>
      <c r="E18" s="118" t="s">
        <v>787</v>
      </c>
      <c r="F18" s="161"/>
      <c r="G18" s="161"/>
      <c r="H18" s="162">
        <v>0</v>
      </c>
      <c r="I18" s="192"/>
      <c r="J18" s="162">
        <v>439.09</v>
      </c>
      <c r="K18" s="192"/>
      <c r="L18" s="193" t="str">
        <f t="shared" si="0"/>
        <v>借</v>
      </c>
      <c r="M18" s="162"/>
      <c r="N18" s="162"/>
      <c r="O18" s="162">
        <f t="shared" si="1"/>
        <v>205153.97</v>
      </c>
    </row>
    <row r="19" spans="2:15">
      <c r="B19" s="41">
        <v>9</v>
      </c>
      <c r="C19" s="41">
        <v>19</v>
      </c>
      <c r="D19" s="41">
        <v>27</v>
      </c>
      <c r="E19" s="118" t="s">
        <v>849</v>
      </c>
      <c r="F19" s="161"/>
      <c r="G19" s="161"/>
      <c r="H19" s="162">
        <v>5008.55</v>
      </c>
      <c r="I19" s="192"/>
      <c r="J19" s="162">
        <v>0</v>
      </c>
      <c r="K19" s="192"/>
      <c r="L19" s="193" t="str">
        <f t="shared" si="0"/>
        <v>借</v>
      </c>
      <c r="M19" s="162"/>
      <c r="N19" s="162"/>
      <c r="O19" s="162">
        <f t="shared" si="1"/>
        <v>210162.52</v>
      </c>
    </row>
    <row r="20" spans="2:15">
      <c r="B20" s="41">
        <v>9</v>
      </c>
      <c r="C20" s="41">
        <v>19</v>
      </c>
      <c r="D20" s="41">
        <v>28</v>
      </c>
      <c r="E20" s="118" t="s">
        <v>850</v>
      </c>
      <c r="F20" s="161"/>
      <c r="G20" s="161"/>
      <c r="H20" s="162">
        <v>72222.22</v>
      </c>
      <c r="I20" s="192"/>
      <c r="J20" s="162">
        <v>0</v>
      </c>
      <c r="K20" s="192"/>
      <c r="L20" s="193" t="str">
        <f t="shared" si="0"/>
        <v>借</v>
      </c>
      <c r="M20" s="162"/>
      <c r="N20" s="162"/>
      <c r="O20" s="162">
        <f t="shared" si="1"/>
        <v>282384.74</v>
      </c>
    </row>
    <row r="21" spans="2:15">
      <c r="B21" s="41">
        <v>9</v>
      </c>
      <c r="C21" s="41">
        <v>19</v>
      </c>
      <c r="D21" s="41">
        <v>30</v>
      </c>
      <c r="E21" s="118" t="s">
        <v>854</v>
      </c>
      <c r="F21" s="161"/>
      <c r="G21" s="161"/>
      <c r="H21" s="162">
        <v>68</v>
      </c>
      <c r="I21" s="192"/>
      <c r="J21" s="162">
        <v>0</v>
      </c>
      <c r="K21" s="192"/>
      <c r="L21" s="193" t="str">
        <f t="shared" si="0"/>
        <v>借</v>
      </c>
      <c r="M21" s="162"/>
      <c r="N21" s="162"/>
      <c r="O21" s="162">
        <f t="shared" si="1"/>
        <v>282452.74</v>
      </c>
    </row>
    <row r="22" spans="2:15">
      <c r="B22" s="41">
        <v>9</v>
      </c>
      <c r="C22" s="41">
        <v>19</v>
      </c>
      <c r="D22" s="41">
        <v>30</v>
      </c>
      <c r="E22" s="118" t="s">
        <v>854</v>
      </c>
      <c r="F22" s="161"/>
      <c r="G22" s="161"/>
      <c r="H22" s="162">
        <v>400</v>
      </c>
      <c r="I22" s="192"/>
      <c r="J22" s="162">
        <v>0</v>
      </c>
      <c r="K22" s="192"/>
      <c r="L22" s="193" t="str">
        <f t="shared" si="0"/>
        <v>借</v>
      </c>
      <c r="M22" s="162"/>
      <c r="N22" s="162"/>
      <c r="O22" s="162">
        <f t="shared" si="1"/>
        <v>282852.74</v>
      </c>
    </row>
    <row r="23" spans="2:15">
      <c r="B23" s="41">
        <v>9</v>
      </c>
      <c r="C23" s="41">
        <v>29</v>
      </c>
      <c r="D23" s="41">
        <v>44</v>
      </c>
      <c r="E23" s="118" t="s">
        <v>881</v>
      </c>
      <c r="F23" s="161"/>
      <c r="G23" s="161"/>
      <c r="H23" s="162">
        <v>0</v>
      </c>
      <c r="I23" s="192"/>
      <c r="J23" s="162">
        <v>225470.09</v>
      </c>
      <c r="K23" s="192"/>
      <c r="L23" s="193" t="str">
        <f t="shared" si="0"/>
        <v>借</v>
      </c>
      <c r="M23" s="162"/>
      <c r="N23" s="162"/>
      <c r="O23" s="162">
        <f t="shared" si="1"/>
        <v>57382.65</v>
      </c>
    </row>
    <row r="24" spans="2:15">
      <c r="B24" s="41">
        <v>9</v>
      </c>
      <c r="C24" s="41">
        <v>30</v>
      </c>
      <c r="D24" s="41">
        <v>54</v>
      </c>
      <c r="E24" s="118" t="s">
        <v>898</v>
      </c>
      <c r="F24" s="161"/>
      <c r="G24" s="161"/>
      <c r="H24" s="162">
        <v>0</v>
      </c>
      <c r="I24" s="192"/>
      <c r="J24" s="162">
        <v>5008.55</v>
      </c>
      <c r="K24" s="192"/>
      <c r="L24" s="193" t="str">
        <f t="shared" si="0"/>
        <v>借</v>
      </c>
      <c r="M24" s="162"/>
      <c r="N24" s="162"/>
      <c r="O24" s="162">
        <f t="shared" si="1"/>
        <v>52374.1</v>
      </c>
    </row>
    <row r="25" spans="2:15">
      <c r="B25" s="41">
        <v>9</v>
      </c>
      <c r="C25" s="41">
        <v>30</v>
      </c>
      <c r="D25" s="41">
        <v>54</v>
      </c>
      <c r="E25" s="118" t="s">
        <v>898</v>
      </c>
      <c r="F25" s="161"/>
      <c r="G25" s="161"/>
      <c r="H25" s="162">
        <v>0</v>
      </c>
      <c r="I25" s="192"/>
      <c r="J25" s="162">
        <v>68</v>
      </c>
      <c r="K25" s="192"/>
      <c r="L25" s="193" t="str">
        <f t="shared" si="0"/>
        <v>借</v>
      </c>
      <c r="M25" s="162"/>
      <c r="N25" s="162"/>
      <c r="O25" s="162">
        <f t="shared" si="1"/>
        <v>52306.1</v>
      </c>
    </row>
    <row r="26" spans="2:15">
      <c r="B26" s="41">
        <v>9</v>
      </c>
      <c r="C26" s="41">
        <v>30</v>
      </c>
      <c r="D26" s="41">
        <v>54</v>
      </c>
      <c r="E26" s="118" t="s">
        <v>898</v>
      </c>
      <c r="F26" s="161"/>
      <c r="G26" s="161"/>
      <c r="H26" s="162">
        <v>0</v>
      </c>
      <c r="I26" s="192"/>
      <c r="J26" s="162">
        <v>400</v>
      </c>
      <c r="K26" s="192"/>
      <c r="L26" s="193" t="str">
        <f t="shared" si="0"/>
        <v>借</v>
      </c>
      <c r="M26" s="162"/>
      <c r="N26" s="162"/>
      <c r="O26" s="162">
        <f t="shared" si="1"/>
        <v>51906.1</v>
      </c>
    </row>
    <row r="27" spans="2:15">
      <c r="B27" s="41">
        <v>10</v>
      </c>
      <c r="C27" s="41">
        <v>14</v>
      </c>
      <c r="D27" s="41">
        <v>14</v>
      </c>
      <c r="E27" s="118" t="s">
        <v>929</v>
      </c>
      <c r="F27" s="161"/>
      <c r="G27" s="161"/>
      <c r="H27" s="162">
        <v>231130.47</v>
      </c>
      <c r="I27" s="192"/>
      <c r="J27" s="162">
        <v>0</v>
      </c>
      <c r="K27" s="192"/>
      <c r="L27" s="193" t="str">
        <f t="shared" si="0"/>
        <v>借</v>
      </c>
      <c r="M27" s="162"/>
      <c r="N27" s="162"/>
      <c r="O27" s="162">
        <f t="shared" si="1"/>
        <v>283036.57</v>
      </c>
    </row>
    <row r="28" spans="2:15">
      <c r="B28" s="41">
        <v>10</v>
      </c>
      <c r="C28" s="41">
        <v>14</v>
      </c>
      <c r="D28" s="41">
        <v>15</v>
      </c>
      <c r="E28" s="118" t="s">
        <v>931</v>
      </c>
      <c r="F28" s="161"/>
      <c r="G28" s="161"/>
      <c r="H28" s="162">
        <v>4324.32</v>
      </c>
      <c r="I28" s="192"/>
      <c r="J28" s="162">
        <v>0</v>
      </c>
      <c r="K28" s="192"/>
      <c r="L28" s="193" t="str">
        <f t="shared" si="0"/>
        <v>借</v>
      </c>
      <c r="M28" s="162"/>
      <c r="N28" s="162"/>
      <c r="O28" s="162">
        <f t="shared" si="1"/>
        <v>287360.89</v>
      </c>
    </row>
    <row r="29" spans="2:15">
      <c r="B29" s="41">
        <v>10</v>
      </c>
      <c r="C29" s="41">
        <v>29</v>
      </c>
      <c r="D29" s="41">
        <v>26</v>
      </c>
      <c r="E29" s="118" t="s">
        <v>88</v>
      </c>
      <c r="F29" s="161"/>
      <c r="G29" s="161"/>
      <c r="H29" s="162">
        <v>123.93</v>
      </c>
      <c r="I29" s="192"/>
      <c r="J29" s="162">
        <v>0</v>
      </c>
      <c r="K29" s="192"/>
      <c r="L29" s="193" t="str">
        <f t="shared" si="0"/>
        <v>借</v>
      </c>
      <c r="M29" s="162"/>
      <c r="N29" s="162"/>
      <c r="O29" s="162">
        <f t="shared" si="1"/>
        <v>287484.82</v>
      </c>
    </row>
    <row r="30" spans="2:15">
      <c r="B30" s="41">
        <v>10</v>
      </c>
      <c r="C30" s="41">
        <v>29</v>
      </c>
      <c r="D30" s="41">
        <v>27</v>
      </c>
      <c r="E30" s="118" t="s">
        <v>851</v>
      </c>
      <c r="F30" s="161"/>
      <c r="G30" s="161"/>
      <c r="H30" s="162">
        <v>103418.8</v>
      </c>
      <c r="I30" s="192"/>
      <c r="J30" s="162">
        <v>0</v>
      </c>
      <c r="K30" s="192"/>
      <c r="L30" s="193" t="str">
        <f t="shared" si="0"/>
        <v>借</v>
      </c>
      <c r="M30" s="162"/>
      <c r="N30" s="162"/>
      <c r="O30" s="162">
        <f t="shared" si="1"/>
        <v>390903.62</v>
      </c>
    </row>
    <row r="31" spans="2:15">
      <c r="B31" s="41">
        <v>11</v>
      </c>
      <c r="C31" s="41">
        <v>11</v>
      </c>
      <c r="D31" s="41">
        <v>7</v>
      </c>
      <c r="E31" s="118" t="s">
        <v>961</v>
      </c>
      <c r="F31" s="161"/>
      <c r="G31" s="161"/>
      <c r="H31" s="162">
        <v>14957.26</v>
      </c>
      <c r="I31" s="192"/>
      <c r="J31" s="162">
        <v>0</v>
      </c>
      <c r="K31" s="192"/>
      <c r="L31" s="193" t="str">
        <f t="shared" si="0"/>
        <v>借</v>
      </c>
      <c r="M31" s="162"/>
      <c r="N31" s="162"/>
      <c r="O31" s="162">
        <f t="shared" si="1"/>
        <v>405860.88</v>
      </c>
    </row>
    <row r="32" spans="2:15">
      <c r="B32" s="41">
        <v>11</v>
      </c>
      <c r="C32" s="41">
        <v>11</v>
      </c>
      <c r="D32" s="41">
        <v>10</v>
      </c>
      <c r="E32" s="118" t="s">
        <v>54</v>
      </c>
      <c r="F32" s="161"/>
      <c r="G32" s="161"/>
      <c r="H32" s="162">
        <v>78.63</v>
      </c>
      <c r="I32" s="192"/>
      <c r="J32" s="162">
        <v>0</v>
      </c>
      <c r="K32" s="192"/>
      <c r="L32" s="193" t="str">
        <f t="shared" si="0"/>
        <v>借</v>
      </c>
      <c r="M32" s="162"/>
      <c r="N32" s="162"/>
      <c r="O32" s="162">
        <f t="shared" si="1"/>
        <v>405939.51</v>
      </c>
    </row>
    <row r="33" spans="2:15">
      <c r="B33" s="41">
        <v>11</v>
      </c>
      <c r="C33" s="41">
        <v>11</v>
      </c>
      <c r="D33" s="41">
        <v>12</v>
      </c>
      <c r="E33" s="118" t="s">
        <v>965</v>
      </c>
      <c r="F33" s="161"/>
      <c r="G33" s="161"/>
      <c r="H33" s="162">
        <v>5600</v>
      </c>
      <c r="I33" s="192"/>
      <c r="J33" s="162">
        <v>0</v>
      </c>
      <c r="K33" s="192"/>
      <c r="L33" s="193" t="str">
        <f t="shared" si="0"/>
        <v>借</v>
      </c>
      <c r="M33" s="162"/>
      <c r="N33" s="162"/>
      <c r="O33" s="162">
        <f t="shared" si="1"/>
        <v>411539.51</v>
      </c>
    </row>
    <row r="34" spans="2:15">
      <c r="B34" s="41">
        <v>11</v>
      </c>
      <c r="C34" s="41">
        <v>30</v>
      </c>
      <c r="D34" s="41">
        <v>48</v>
      </c>
      <c r="E34" s="118" t="s">
        <v>1013</v>
      </c>
      <c r="F34" s="161"/>
      <c r="G34" s="161"/>
      <c r="H34" s="162">
        <v>0</v>
      </c>
      <c r="I34" s="192"/>
      <c r="J34" s="162">
        <v>328000</v>
      </c>
      <c r="K34" s="192"/>
      <c r="L34" s="193" t="str">
        <f t="shared" si="0"/>
        <v>借</v>
      </c>
      <c r="M34" s="162"/>
      <c r="N34" s="162"/>
      <c r="O34" s="162">
        <f t="shared" si="1"/>
        <v>83539.51</v>
      </c>
    </row>
    <row r="35" spans="5:14">
      <c r="E35" s="1"/>
      <c r="M35"/>
      <c r="N35"/>
    </row>
    <row r="36" spans="5:14">
      <c r="E36" s="1"/>
      <c r="F36" s="163"/>
      <c r="M36"/>
      <c r="N36"/>
    </row>
    <row r="37" spans="5:14">
      <c r="E37" s="1"/>
      <c r="M37"/>
      <c r="N37"/>
    </row>
    <row r="38" spans="5:15">
      <c r="E38" s="1"/>
      <c r="M38"/>
      <c r="N38"/>
      <c r="O38" s="42"/>
    </row>
    <row r="39" spans="5:14">
      <c r="E39" s="1"/>
      <c r="M39"/>
      <c r="N39"/>
    </row>
    <row r="40" spans="5:14">
      <c r="E40" s="1"/>
      <c r="J40" s="41"/>
      <c r="K40" s="41"/>
      <c r="M40"/>
      <c r="N40"/>
    </row>
    <row r="41" spans="5:14">
      <c r="E41" s="1"/>
      <c r="M41"/>
      <c r="N41"/>
    </row>
    <row r="42" spans="5:17">
      <c r="E42" s="1"/>
      <c r="M42"/>
      <c r="N42"/>
      <c r="Q42" s="42"/>
    </row>
    <row r="43" spans="5:14">
      <c r="E43" s="1"/>
      <c r="M43"/>
      <c r="N43"/>
    </row>
    <row r="44" spans="5:14">
      <c r="E44" s="1"/>
      <c r="M44"/>
      <c r="N44"/>
    </row>
    <row r="45" spans="5:14">
      <c r="E45" s="1"/>
      <c r="M45"/>
      <c r="N45"/>
    </row>
    <row r="46" spans="5:14">
      <c r="E46" s="1"/>
      <c r="M46"/>
      <c r="N46"/>
    </row>
    <row r="47" spans="5:14">
      <c r="E47" s="1"/>
      <c r="M47"/>
      <c r="N47"/>
    </row>
    <row r="48" spans="5:14">
      <c r="E48" s="1"/>
      <c r="M48"/>
      <c r="N48"/>
    </row>
    <row r="49" spans="5:14">
      <c r="E49" s="1"/>
      <c r="M49"/>
      <c r="N49"/>
    </row>
    <row r="50" spans="5:14">
      <c r="E50" s="1"/>
      <c r="M50"/>
      <c r="N50"/>
    </row>
    <row r="51" spans="5:14">
      <c r="E51" s="1"/>
      <c r="M51"/>
      <c r="N51"/>
    </row>
    <row r="52" spans="5:14">
      <c r="E52" s="1"/>
      <c r="M52"/>
      <c r="N52"/>
    </row>
    <row r="53" spans="5:14">
      <c r="E53" s="1"/>
      <c r="M53"/>
      <c r="N53"/>
    </row>
    <row r="54" spans="5:14">
      <c r="E54" s="1"/>
      <c r="M54"/>
      <c r="N54"/>
    </row>
    <row r="55" spans="5:14">
      <c r="E55" s="1"/>
      <c r="M55"/>
      <c r="N55"/>
    </row>
    <row r="56" spans="5:14">
      <c r="E56" s="1"/>
      <c r="M56"/>
      <c r="N56"/>
    </row>
    <row r="57" spans="5:14">
      <c r="E57" s="1"/>
      <c r="M57"/>
      <c r="N57"/>
    </row>
    <row r="58" spans="5:14">
      <c r="E58" s="1"/>
      <c r="M58"/>
      <c r="N58"/>
    </row>
    <row r="59" spans="5:14">
      <c r="E59" s="1"/>
      <c r="M59"/>
      <c r="N59"/>
    </row>
    <row r="60" spans="5:14">
      <c r="E60" s="1"/>
      <c r="M60"/>
      <c r="N60"/>
    </row>
    <row r="61" spans="13:14">
      <c r="M61"/>
      <c r="N61"/>
    </row>
    <row r="62" spans="13:14">
      <c r="M62"/>
      <c r="N62"/>
    </row>
    <row r="63" spans="13:14">
      <c r="M63"/>
      <c r="N63"/>
    </row>
    <row r="64" spans="13:14">
      <c r="M64"/>
      <c r="N64"/>
    </row>
    <row r="65" spans="13:14">
      <c r="M65"/>
      <c r="N65"/>
    </row>
    <row r="66" spans="13:14">
      <c r="M66"/>
      <c r="N66"/>
    </row>
    <row r="67" spans="13:14">
      <c r="M67"/>
      <c r="N67"/>
    </row>
    <row r="68" spans="13:14">
      <c r="M68"/>
      <c r="N68"/>
    </row>
    <row r="69" spans="13:14">
      <c r="M69"/>
      <c r="N69"/>
    </row>
    <row r="70" spans="13:14">
      <c r="M70"/>
      <c r="N70"/>
    </row>
    <row r="71" spans="13:14">
      <c r="M71"/>
      <c r="N71"/>
    </row>
    <row r="72" spans="13:14">
      <c r="M72"/>
      <c r="N72"/>
    </row>
    <row r="73" spans="13:14">
      <c r="M73"/>
      <c r="N73"/>
    </row>
    <row r="74" spans="13:14">
      <c r="M74"/>
      <c r="N74"/>
    </row>
    <row r="75" spans="13:14">
      <c r="M75"/>
      <c r="N75"/>
    </row>
    <row r="76" spans="13:14">
      <c r="M76"/>
      <c r="N76"/>
    </row>
    <row r="77" spans="13:14">
      <c r="M77"/>
      <c r="N77"/>
    </row>
    <row r="78" spans="13:14">
      <c r="M78"/>
      <c r="N78"/>
    </row>
    <row r="79" spans="13:16">
      <c r="M79"/>
      <c r="N79"/>
      <c r="P79" s="117"/>
    </row>
    <row r="80" spans="13:14">
      <c r="M80"/>
      <c r="N80"/>
    </row>
    <row r="81" spans="13:14">
      <c r="M81"/>
      <c r="N81"/>
    </row>
    <row r="82" spans="13:14">
      <c r="M82"/>
      <c r="N82"/>
    </row>
    <row r="83" spans="13:14">
      <c r="M83"/>
      <c r="N83"/>
    </row>
    <row r="84" spans="13:14">
      <c r="M84"/>
      <c r="N84"/>
    </row>
    <row r="85" spans="13:14">
      <c r="M85"/>
      <c r="N85"/>
    </row>
    <row r="86" spans="13:14">
      <c r="M86"/>
      <c r="N86"/>
    </row>
    <row r="87" spans="13:14">
      <c r="M87"/>
      <c r="N87"/>
    </row>
    <row r="88" spans="13:14">
      <c r="M88"/>
      <c r="N88"/>
    </row>
    <row r="89" spans="13:14">
      <c r="M89"/>
      <c r="N89"/>
    </row>
    <row r="90" spans="13:14">
      <c r="M90"/>
      <c r="N90"/>
    </row>
    <row r="91" spans="13:14">
      <c r="M91"/>
      <c r="N91"/>
    </row>
    <row r="92" spans="13:14">
      <c r="M92"/>
      <c r="N92"/>
    </row>
    <row r="93" spans="13:14">
      <c r="M93"/>
      <c r="N93"/>
    </row>
    <row r="94" spans="13:14">
      <c r="M94"/>
      <c r="N94"/>
    </row>
    <row r="95" spans="13:14">
      <c r="M95"/>
      <c r="N95"/>
    </row>
    <row r="96" spans="13:14">
      <c r="M96"/>
      <c r="N96"/>
    </row>
    <row r="97" spans="13:14">
      <c r="M97"/>
      <c r="N97"/>
    </row>
    <row r="98" spans="13:14">
      <c r="M98"/>
      <c r="N98"/>
    </row>
    <row r="99" spans="13:14">
      <c r="M99"/>
      <c r="N99"/>
    </row>
    <row r="100" spans="13:14">
      <c r="M100"/>
      <c r="N100"/>
    </row>
    <row r="101" spans="13:14">
      <c r="M101"/>
      <c r="N101"/>
    </row>
    <row r="102" spans="13:14">
      <c r="M102"/>
      <c r="N102"/>
    </row>
    <row r="103" spans="13:14">
      <c r="M103"/>
      <c r="N103"/>
    </row>
    <row r="104" spans="13:14">
      <c r="M104"/>
      <c r="N104"/>
    </row>
    <row r="105" spans="13:14">
      <c r="M105"/>
      <c r="N105"/>
    </row>
    <row r="106" spans="13:14">
      <c r="M106"/>
      <c r="N106"/>
    </row>
    <row r="107" spans="13:14">
      <c r="M107"/>
      <c r="N107"/>
    </row>
    <row r="108" spans="13:14">
      <c r="M108"/>
      <c r="N108"/>
    </row>
    <row r="109" spans="13:14">
      <c r="M109"/>
      <c r="N109"/>
    </row>
    <row r="110" spans="13:14">
      <c r="M110"/>
      <c r="N110"/>
    </row>
    <row r="111" spans="13:14">
      <c r="M111"/>
      <c r="N111"/>
    </row>
    <row r="112" spans="13:14">
      <c r="M112"/>
      <c r="N112"/>
    </row>
    <row r="113" spans="13:14">
      <c r="M113"/>
      <c r="N113"/>
    </row>
    <row r="114" spans="13:14">
      <c r="M114"/>
      <c r="N114"/>
    </row>
    <row r="115" spans="13:14">
      <c r="M115"/>
      <c r="N115"/>
    </row>
    <row r="116" spans="13:14">
      <c r="M116"/>
      <c r="N116"/>
    </row>
    <row r="117" spans="13:14">
      <c r="M117"/>
      <c r="N117"/>
    </row>
    <row r="118" spans="13:14">
      <c r="M118"/>
      <c r="N118"/>
    </row>
    <row r="119" spans="13:14">
      <c r="M119"/>
      <c r="N119"/>
    </row>
    <row r="120" spans="13:14">
      <c r="M120"/>
      <c r="N120"/>
    </row>
    <row r="121" spans="13:14">
      <c r="M121"/>
      <c r="N121"/>
    </row>
    <row r="122" spans="13:14">
      <c r="M122"/>
      <c r="N122"/>
    </row>
    <row r="123" spans="13:14">
      <c r="M123"/>
      <c r="N123"/>
    </row>
    <row r="124" spans="13:14">
      <c r="M124"/>
      <c r="N124"/>
    </row>
    <row r="125" spans="13:14">
      <c r="M125"/>
      <c r="N125"/>
    </row>
    <row r="126" spans="13:14">
      <c r="M126"/>
      <c r="N126"/>
    </row>
    <row r="127" spans="13:14">
      <c r="M127"/>
      <c r="N127"/>
    </row>
    <row r="128" spans="13:14">
      <c r="M128"/>
      <c r="N128"/>
    </row>
    <row r="129" spans="13:14">
      <c r="M129"/>
      <c r="N129"/>
    </row>
    <row r="130" spans="13:14">
      <c r="M130"/>
      <c r="N130"/>
    </row>
    <row r="131" spans="13:14">
      <c r="M131"/>
      <c r="N131"/>
    </row>
    <row r="132" spans="13:14">
      <c r="M132"/>
      <c r="N132"/>
    </row>
    <row r="133" spans="13:14">
      <c r="M133"/>
      <c r="N133"/>
    </row>
    <row r="134" spans="13:14">
      <c r="M134"/>
      <c r="N134"/>
    </row>
    <row r="135" spans="13:14">
      <c r="M135"/>
      <c r="N135"/>
    </row>
    <row r="136" spans="13:14">
      <c r="M136"/>
      <c r="N136"/>
    </row>
    <row r="137" spans="13:14">
      <c r="M137"/>
      <c r="N137"/>
    </row>
    <row r="138" spans="13:14">
      <c r="M138"/>
      <c r="N138"/>
    </row>
    <row r="139" spans="13:14">
      <c r="M139"/>
      <c r="N139"/>
    </row>
    <row r="140" spans="13:14">
      <c r="M140"/>
      <c r="N140"/>
    </row>
    <row r="141" spans="13:14">
      <c r="M141"/>
      <c r="N141"/>
    </row>
    <row r="142" spans="13:14">
      <c r="M142"/>
      <c r="N142"/>
    </row>
    <row r="143" spans="13:14">
      <c r="M143"/>
      <c r="N143"/>
    </row>
    <row r="144" spans="13:14">
      <c r="M144"/>
      <c r="N144"/>
    </row>
    <row r="145" spans="13:14">
      <c r="M145"/>
      <c r="N145"/>
    </row>
    <row r="146" spans="13:14">
      <c r="M146"/>
      <c r="N146"/>
    </row>
    <row r="147" spans="13:14">
      <c r="M147"/>
      <c r="N147"/>
    </row>
    <row r="148" spans="13:14">
      <c r="M148"/>
      <c r="N148"/>
    </row>
    <row r="149" spans="13:14">
      <c r="M149"/>
      <c r="N149"/>
    </row>
    <row r="150" spans="13:14">
      <c r="M150"/>
      <c r="N150"/>
    </row>
    <row r="151" spans="13:14">
      <c r="M151"/>
      <c r="N151"/>
    </row>
    <row r="152" spans="13:14">
      <c r="M152"/>
      <c r="N152"/>
    </row>
    <row r="153" spans="13:14">
      <c r="M153"/>
      <c r="N153"/>
    </row>
    <row r="154" spans="13:14">
      <c r="M154"/>
      <c r="N154"/>
    </row>
    <row r="155" spans="13:14">
      <c r="M155"/>
      <c r="N155"/>
    </row>
    <row r="156" spans="13:14">
      <c r="M156"/>
      <c r="N156"/>
    </row>
    <row r="157" spans="13:14">
      <c r="M157"/>
      <c r="N157"/>
    </row>
    <row r="158" spans="13:14">
      <c r="M158"/>
      <c r="N158"/>
    </row>
    <row r="159" spans="13:14">
      <c r="M159"/>
      <c r="N159"/>
    </row>
    <row r="160" spans="13:14">
      <c r="M160"/>
      <c r="N160"/>
    </row>
    <row r="161" spans="13:14">
      <c r="M161"/>
      <c r="N161"/>
    </row>
    <row r="162" spans="13:14">
      <c r="M162"/>
      <c r="N162"/>
    </row>
    <row r="163" spans="13:14">
      <c r="M163"/>
      <c r="N163"/>
    </row>
    <row r="164" spans="13:14">
      <c r="M164"/>
      <c r="N164"/>
    </row>
    <row r="165" spans="13:14">
      <c r="M165"/>
      <c r="N165"/>
    </row>
    <row r="166" spans="13:14">
      <c r="M166"/>
      <c r="N166"/>
    </row>
    <row r="167" spans="13:14">
      <c r="M167"/>
      <c r="N167"/>
    </row>
    <row r="168" spans="13:14">
      <c r="M168"/>
      <c r="N168"/>
    </row>
    <row r="169" spans="13:14">
      <c r="M169"/>
      <c r="N169"/>
    </row>
    <row r="170" spans="13:14">
      <c r="M170"/>
      <c r="N170"/>
    </row>
    <row r="171" spans="13:14">
      <c r="M171"/>
      <c r="N171"/>
    </row>
    <row r="172" spans="13:14">
      <c r="M172"/>
      <c r="N172"/>
    </row>
    <row r="173" spans="13:14">
      <c r="M173"/>
      <c r="N173"/>
    </row>
    <row r="174" spans="13:14">
      <c r="M174"/>
      <c r="N174"/>
    </row>
    <row r="175" spans="13:14">
      <c r="M175"/>
      <c r="N175"/>
    </row>
    <row r="176" spans="13:14">
      <c r="M176"/>
      <c r="N176"/>
    </row>
    <row r="177" spans="13:14">
      <c r="M177"/>
      <c r="N177"/>
    </row>
    <row r="178" spans="13:14">
      <c r="M178"/>
      <c r="N178"/>
    </row>
    <row r="179" spans="13:14">
      <c r="M179"/>
      <c r="N179"/>
    </row>
    <row r="180" spans="13:14">
      <c r="M180"/>
      <c r="N180"/>
    </row>
    <row r="181" spans="13:14">
      <c r="M181"/>
      <c r="N181"/>
    </row>
    <row r="182" spans="13:14">
      <c r="M182"/>
      <c r="N182"/>
    </row>
    <row r="183" spans="13:14">
      <c r="M183"/>
      <c r="N183"/>
    </row>
    <row r="184" spans="13:14">
      <c r="M184"/>
      <c r="N184"/>
    </row>
    <row r="185" spans="13:14">
      <c r="M185"/>
      <c r="N185"/>
    </row>
    <row r="186" spans="13:14">
      <c r="M186"/>
      <c r="N186"/>
    </row>
    <row r="187" spans="13:14">
      <c r="M187"/>
      <c r="N187"/>
    </row>
    <row r="188" spans="13:14">
      <c r="M188"/>
      <c r="N188"/>
    </row>
    <row r="189" spans="13:14">
      <c r="M189"/>
      <c r="N189"/>
    </row>
    <row r="190" spans="13:14">
      <c r="M190"/>
      <c r="N190"/>
    </row>
    <row r="191" spans="13:14">
      <c r="M191"/>
      <c r="N191"/>
    </row>
    <row r="192" spans="13:14">
      <c r="M192"/>
      <c r="N192"/>
    </row>
    <row r="193" spans="13:14">
      <c r="M193"/>
      <c r="N193"/>
    </row>
    <row r="194" spans="13:14">
      <c r="M194"/>
      <c r="N194"/>
    </row>
    <row r="195" spans="13:14">
      <c r="M195"/>
      <c r="N195"/>
    </row>
    <row r="196" spans="13:14">
      <c r="M196"/>
      <c r="N196"/>
    </row>
    <row r="197" spans="13:14">
      <c r="M197"/>
      <c r="N197"/>
    </row>
    <row r="198" spans="13:14">
      <c r="M198"/>
      <c r="N198"/>
    </row>
    <row r="199" spans="13:14">
      <c r="M199"/>
      <c r="N199"/>
    </row>
    <row r="200" spans="13:14">
      <c r="M200"/>
      <c r="N200"/>
    </row>
    <row r="201" spans="13:14">
      <c r="M201"/>
      <c r="N201"/>
    </row>
    <row r="202" spans="13:14">
      <c r="M202"/>
      <c r="N202"/>
    </row>
    <row r="203" spans="13:14">
      <c r="M203"/>
      <c r="N203"/>
    </row>
    <row r="204" spans="13:14">
      <c r="M204"/>
      <c r="N204"/>
    </row>
    <row r="205" spans="13:14">
      <c r="M205"/>
      <c r="N205"/>
    </row>
    <row r="206" spans="13:14">
      <c r="M206"/>
      <c r="N206"/>
    </row>
    <row r="207" spans="13:14">
      <c r="M207"/>
      <c r="N207"/>
    </row>
    <row r="208" spans="13:14">
      <c r="M208"/>
      <c r="N208"/>
    </row>
    <row r="209" spans="13:14">
      <c r="M209"/>
      <c r="N209"/>
    </row>
    <row r="210" spans="13:14">
      <c r="M210"/>
      <c r="N210"/>
    </row>
    <row r="211" spans="13:14">
      <c r="M211"/>
      <c r="N211"/>
    </row>
    <row r="212" spans="13:14">
      <c r="M212"/>
      <c r="N212"/>
    </row>
    <row r="213" spans="13:14">
      <c r="M213"/>
      <c r="N213"/>
    </row>
    <row r="214" spans="13:14">
      <c r="M214"/>
      <c r="N214"/>
    </row>
    <row r="215" spans="13:14">
      <c r="M215"/>
      <c r="N215"/>
    </row>
    <row r="216" spans="13:14">
      <c r="M216"/>
      <c r="N216"/>
    </row>
    <row r="217" spans="13:14">
      <c r="M217"/>
      <c r="N217"/>
    </row>
    <row r="218" spans="13:14">
      <c r="M218"/>
      <c r="N218"/>
    </row>
    <row r="219" spans="13:14">
      <c r="M219"/>
      <c r="N219"/>
    </row>
    <row r="220" spans="13:14">
      <c r="M220"/>
      <c r="N220"/>
    </row>
    <row r="221" spans="13:14">
      <c r="M221"/>
      <c r="N221"/>
    </row>
    <row r="222" spans="13:14">
      <c r="M222"/>
      <c r="N222"/>
    </row>
    <row r="223" spans="13:14">
      <c r="M223"/>
      <c r="N223"/>
    </row>
    <row r="224" spans="13:14">
      <c r="M224"/>
      <c r="N224"/>
    </row>
    <row r="225" spans="13:14">
      <c r="M225"/>
      <c r="N225"/>
    </row>
    <row r="226" spans="13:14">
      <c r="M226"/>
      <c r="N226"/>
    </row>
    <row r="227" spans="13:14">
      <c r="M227"/>
      <c r="N227"/>
    </row>
    <row r="228" spans="13:14">
      <c r="M228"/>
      <c r="N228"/>
    </row>
    <row r="229" spans="13:14">
      <c r="M229"/>
      <c r="N229"/>
    </row>
    <row r="230" spans="13:14">
      <c r="M230"/>
      <c r="N230"/>
    </row>
    <row r="231" spans="13:14">
      <c r="M231"/>
      <c r="N231"/>
    </row>
    <row r="232" spans="13:14">
      <c r="M232"/>
      <c r="N232"/>
    </row>
    <row r="233" spans="13:14">
      <c r="M233"/>
      <c r="N233"/>
    </row>
    <row r="234" spans="13:14">
      <c r="M234"/>
      <c r="N234"/>
    </row>
    <row r="235" spans="13:14">
      <c r="M235"/>
      <c r="N235"/>
    </row>
    <row r="236" spans="13:14">
      <c r="M236"/>
      <c r="N236"/>
    </row>
    <row r="237" spans="13:14">
      <c r="M237"/>
      <c r="N237"/>
    </row>
    <row r="238" spans="13:14">
      <c r="M238"/>
      <c r="N238"/>
    </row>
    <row r="239" spans="13:14">
      <c r="M239"/>
      <c r="N239"/>
    </row>
    <row r="240" spans="13:14">
      <c r="M240"/>
      <c r="N240"/>
    </row>
    <row r="241" spans="13:14">
      <c r="M241"/>
      <c r="N241"/>
    </row>
    <row r="242" spans="13:14">
      <c r="M242"/>
      <c r="N242"/>
    </row>
    <row r="243" spans="13:14">
      <c r="M243"/>
      <c r="N243"/>
    </row>
    <row r="244" spans="13:14">
      <c r="M244"/>
      <c r="N244"/>
    </row>
    <row r="245" spans="13:14">
      <c r="M245"/>
      <c r="N245"/>
    </row>
    <row r="246" spans="13:14">
      <c r="M246"/>
      <c r="N246"/>
    </row>
    <row r="247" spans="13:14">
      <c r="M247"/>
      <c r="N247"/>
    </row>
    <row r="248" spans="13:14">
      <c r="M248"/>
      <c r="N248"/>
    </row>
    <row r="249" spans="13:14">
      <c r="M249"/>
      <c r="N249"/>
    </row>
    <row r="250" spans="13:14">
      <c r="M250"/>
      <c r="N250"/>
    </row>
    <row r="251" spans="13:14">
      <c r="M251"/>
      <c r="N251"/>
    </row>
    <row r="252" spans="13:14">
      <c r="M252"/>
      <c r="N252"/>
    </row>
    <row r="253" spans="13:14">
      <c r="M253"/>
      <c r="N253"/>
    </row>
    <row r="254" spans="13:14">
      <c r="M254"/>
      <c r="N254"/>
    </row>
    <row r="255" spans="13:14">
      <c r="M255"/>
      <c r="N255"/>
    </row>
    <row r="256" spans="13:14">
      <c r="M256"/>
      <c r="N256"/>
    </row>
    <row r="257" spans="13:14">
      <c r="M257"/>
      <c r="N257"/>
    </row>
    <row r="258" spans="13:14">
      <c r="M258"/>
      <c r="N258"/>
    </row>
    <row r="259" spans="13:14">
      <c r="M259"/>
      <c r="N259"/>
    </row>
    <row r="260" spans="13:14">
      <c r="M260"/>
      <c r="N260"/>
    </row>
    <row r="261" spans="13:14">
      <c r="M261"/>
      <c r="N261"/>
    </row>
    <row r="262" spans="13:14">
      <c r="M262"/>
      <c r="N262"/>
    </row>
    <row r="263" spans="13:14">
      <c r="M263"/>
      <c r="N263"/>
    </row>
    <row r="264" spans="13:14">
      <c r="M264"/>
      <c r="N264"/>
    </row>
    <row r="265" spans="13:14">
      <c r="M265"/>
      <c r="N265"/>
    </row>
    <row r="266" spans="13:14">
      <c r="M266"/>
      <c r="N266"/>
    </row>
    <row r="267" spans="13:14">
      <c r="M267"/>
      <c r="N267"/>
    </row>
    <row r="268" spans="13:14">
      <c r="M268"/>
      <c r="N268"/>
    </row>
    <row r="269" spans="13:14">
      <c r="M269"/>
      <c r="N269"/>
    </row>
    <row r="270" spans="13:14">
      <c r="M270"/>
      <c r="N270"/>
    </row>
    <row r="271" spans="13:14">
      <c r="M271"/>
      <c r="N271"/>
    </row>
    <row r="272" spans="13:14">
      <c r="M272"/>
      <c r="N272"/>
    </row>
    <row r="273" spans="13:14">
      <c r="M273"/>
      <c r="N273"/>
    </row>
    <row r="274" spans="13:14">
      <c r="M274"/>
      <c r="N274"/>
    </row>
    <row r="275" spans="13:14">
      <c r="M275"/>
      <c r="N275"/>
    </row>
    <row r="276" spans="13:14">
      <c r="M276"/>
      <c r="N276"/>
    </row>
    <row r="277" spans="13:14">
      <c r="M277"/>
      <c r="N277"/>
    </row>
    <row r="278" spans="13:14">
      <c r="M278"/>
      <c r="N278"/>
    </row>
    <row r="279" spans="13:14">
      <c r="M279"/>
      <c r="N279"/>
    </row>
    <row r="280" spans="13:14">
      <c r="M280"/>
      <c r="N280"/>
    </row>
    <row r="281" spans="13:14">
      <c r="M281"/>
      <c r="N281"/>
    </row>
    <row r="282" spans="13:14">
      <c r="M282"/>
      <c r="N282"/>
    </row>
    <row r="283" spans="13:14">
      <c r="M283"/>
      <c r="N283"/>
    </row>
    <row r="284" spans="13:14">
      <c r="M284"/>
      <c r="N284"/>
    </row>
    <row r="285" spans="13:14">
      <c r="M285"/>
      <c r="N285"/>
    </row>
    <row r="286" spans="13:14">
      <c r="M286"/>
      <c r="N286"/>
    </row>
    <row r="287" spans="13:14">
      <c r="M287"/>
      <c r="N287"/>
    </row>
    <row r="288" spans="13:14">
      <c r="M288"/>
      <c r="N288"/>
    </row>
    <row r="289" spans="13:14">
      <c r="M289"/>
      <c r="N289"/>
    </row>
    <row r="290" spans="13:14">
      <c r="M290"/>
      <c r="N290"/>
    </row>
    <row r="291" spans="13:14">
      <c r="M291"/>
      <c r="N291"/>
    </row>
    <row r="292" spans="13:14">
      <c r="M292"/>
      <c r="N292"/>
    </row>
    <row r="293" spans="13:14">
      <c r="M293"/>
      <c r="N293"/>
    </row>
    <row r="294" spans="13:14">
      <c r="M294"/>
      <c r="N294"/>
    </row>
    <row r="295" spans="13:14">
      <c r="M295"/>
      <c r="N295"/>
    </row>
    <row r="296" spans="13:14">
      <c r="M296"/>
      <c r="N296"/>
    </row>
    <row r="297" spans="13:14">
      <c r="M297"/>
      <c r="N297"/>
    </row>
    <row r="298" spans="13:14">
      <c r="M298"/>
      <c r="N298"/>
    </row>
    <row r="299" spans="13:14">
      <c r="M299"/>
      <c r="N299"/>
    </row>
    <row r="300" spans="13:14">
      <c r="M300"/>
      <c r="N300"/>
    </row>
    <row r="301" spans="13:14">
      <c r="M301"/>
      <c r="N301"/>
    </row>
    <row r="302" spans="13:14">
      <c r="M302"/>
      <c r="N302"/>
    </row>
    <row r="303" spans="13:14">
      <c r="M303"/>
      <c r="N303"/>
    </row>
    <row r="304" spans="13:14">
      <c r="M304"/>
      <c r="N304"/>
    </row>
    <row r="305" spans="13:14">
      <c r="M305"/>
      <c r="N305"/>
    </row>
    <row r="306" spans="13:14">
      <c r="M306"/>
      <c r="N306"/>
    </row>
    <row r="307" spans="13:14">
      <c r="M307"/>
      <c r="N307"/>
    </row>
    <row r="308" spans="13:14">
      <c r="M308"/>
      <c r="N308"/>
    </row>
    <row r="309" spans="13:14">
      <c r="M309"/>
      <c r="N309"/>
    </row>
    <row r="310" spans="13:14">
      <c r="M310"/>
      <c r="N310"/>
    </row>
  </sheetData>
  <mergeCells count="18">
    <mergeCell ref="E1:J1"/>
    <mergeCell ref="K1:L1"/>
    <mergeCell ref="C2:D2"/>
    <mergeCell ref="C3:D3"/>
    <mergeCell ref="E3:J3"/>
    <mergeCell ref="B4:C4"/>
    <mergeCell ref="D4:D5"/>
    <mergeCell ref="E4:E5"/>
    <mergeCell ref="F4:F5"/>
    <mergeCell ref="G4:G5"/>
    <mergeCell ref="H4:H5"/>
    <mergeCell ref="I4:I5"/>
    <mergeCell ref="J4:J5"/>
    <mergeCell ref="K4:K5"/>
    <mergeCell ref="L4:L5"/>
    <mergeCell ref="M4:M5"/>
    <mergeCell ref="N4:N5"/>
    <mergeCell ref="O4:O5"/>
  </mergeCells>
  <pageMargins left="0.699305555555556" right="0.699305555555556" top="0.75" bottom="0.75" header="0.3" footer="0.3"/>
  <pageSetup paperSize="9" orientation="portrait" horizontalDpi="180" verticalDpi="18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name="Drop Down 2" r:id="rId3">
              <controlPr defaultSize="0">
                <anchor moveWithCells="1">
                  <from>
                    <xdr:col>16</xdr:col>
                    <xdr:colOff>257175</xdr:colOff>
                    <xdr:row>0</xdr:row>
                    <xdr:rowOff>57150</xdr:rowOff>
                  </from>
                  <to>
                    <xdr:col>20</xdr:col>
                    <xdr:colOff>9525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name="Button 3" r:id="rId4">
              <controlPr print="0" defaultSize="0">
                <anchor moveWithCells="1">
                  <from>
                    <xdr:col>18</xdr:col>
                    <xdr:colOff>47625</xdr:colOff>
                    <xdr:row>2</xdr:row>
                    <xdr:rowOff>285750</xdr:rowOff>
                  </from>
                  <to>
                    <xdr:col>19</xdr:col>
                    <xdr:colOff>171450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name="Button 4" r:id="rId5">
              <controlPr print="0" defaultSize="0">
                <anchor moveWithCells="1">
                  <from>
                    <xdr:col>14</xdr:col>
                    <xdr:colOff>904875</xdr:colOff>
                    <xdr:row>0</xdr:row>
                    <xdr:rowOff>66675</xdr:rowOff>
                  </from>
                  <to>
                    <xdr:col>14</xdr:col>
                    <xdr:colOff>1276350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>
    <tabColor rgb="FFFF0000"/>
    <pageSetUpPr autoPageBreaks="0"/>
  </sheetPr>
  <dimension ref="A1:S36"/>
  <sheetViews>
    <sheetView showZeros="0" topLeftCell="B1" workbookViewId="0">
      <selection activeCell="T10" sqref="T10"/>
    </sheetView>
  </sheetViews>
  <sheetFormatPr defaultColWidth="9" defaultRowHeight="12.75"/>
  <cols>
    <col min="1" max="1" width="1.75238095238095" style="1" hidden="1" customWidth="1"/>
    <col min="2" max="2" width="3.62857142857143" style="1" customWidth="1"/>
    <col min="3" max="3" width="4" style="1" customWidth="1"/>
    <col min="4" max="4" width="4.75238095238095" style="119" customWidth="1"/>
    <col min="5" max="5" width="17.6285714285714" style="1" customWidth="1"/>
    <col min="6" max="6" width="10.5047619047619" style="1" hidden="1" customWidth="1"/>
    <col min="7" max="7" width="9.5047619047619" style="1" hidden="1" customWidth="1"/>
    <col min="8" max="8" width="9.87619047619048" style="1" customWidth="1"/>
    <col min="9" max="9" width="9.62857142857143" style="1" customWidth="1"/>
    <col min="10" max="10" width="7.5047619047619" style="1" customWidth="1"/>
    <col min="11" max="11" width="9.24761904761905" style="1" customWidth="1"/>
    <col min="12" max="12" width="8" style="1" customWidth="1"/>
    <col min="13" max="13" width="8.24761904761905" style="1" customWidth="1"/>
    <col min="14" max="14" width="10.752380952381" style="1" customWidth="1"/>
    <col min="15" max="15" width="7" style="1" hidden="1" customWidth="1"/>
    <col min="16" max="16" width="6.24761904761905" style="1" customWidth="1"/>
    <col min="17" max="17" width="4.37142857142857" style="1" customWidth="1"/>
    <col min="18" max="18" width="4.12380952380952" style="119" customWidth="1"/>
    <col min="19" max="19" width="15" style="1" customWidth="1"/>
    <col min="20" max="16384" width="9" style="1"/>
  </cols>
  <sheetData>
    <row r="1" ht="14.25" customHeight="1" spans="2:19">
      <c r="B1" s="120" t="s">
        <v>1147</v>
      </c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</row>
    <row r="2" ht="9" customHeight="1" spans="2:19"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</row>
    <row r="3" ht="16.5" customHeight="1" spans="2:19">
      <c r="B3" s="121">
        <f>单位信息!B2</f>
        <v>2014</v>
      </c>
      <c r="C3" s="121"/>
      <c r="D3" s="122" t="s">
        <v>1139</v>
      </c>
      <c r="E3" s="121" t="s">
        <v>1140</v>
      </c>
      <c r="F3" s="123"/>
      <c r="G3" s="123"/>
      <c r="H3" s="121" t="s">
        <v>1121</v>
      </c>
      <c r="I3" s="121"/>
      <c r="J3" s="121"/>
      <c r="K3" s="121"/>
      <c r="L3" s="121"/>
      <c r="M3" s="121" t="s">
        <v>1122</v>
      </c>
      <c r="N3" s="121"/>
      <c r="O3" s="121"/>
      <c r="P3" s="121"/>
      <c r="Q3" s="121"/>
      <c r="R3" s="122" t="s">
        <v>1148</v>
      </c>
      <c r="S3" s="121" t="s">
        <v>1124</v>
      </c>
    </row>
    <row r="4" s="118" customFormat="1" ht="27" customHeight="1" spans="2:19">
      <c r="B4" s="121" t="s">
        <v>186</v>
      </c>
      <c r="C4" s="121" t="s">
        <v>187</v>
      </c>
      <c r="D4" s="121"/>
      <c r="E4" s="121"/>
      <c r="F4" s="123"/>
      <c r="G4" s="123"/>
      <c r="H4" s="121" t="s">
        <v>1149</v>
      </c>
      <c r="I4" s="121" t="s">
        <v>1150</v>
      </c>
      <c r="J4" s="122" t="s">
        <v>1151</v>
      </c>
      <c r="K4" s="122" t="s">
        <v>1152</v>
      </c>
      <c r="L4" s="121" t="s">
        <v>1153</v>
      </c>
      <c r="M4" s="125" t="s">
        <v>1149</v>
      </c>
      <c r="N4" s="121" t="s">
        <v>1154</v>
      </c>
      <c r="O4" s="122" t="s">
        <v>1155</v>
      </c>
      <c r="P4" s="122" t="s">
        <v>1156</v>
      </c>
      <c r="Q4" s="121"/>
      <c r="R4" s="121"/>
      <c r="S4" s="121"/>
    </row>
    <row r="5" s="118" customFormat="1" ht="15" hidden="1" customHeight="1" spans="2:19">
      <c r="B5" s="6"/>
      <c r="C5" s="6"/>
      <c r="D5" s="4"/>
      <c r="E5" s="4"/>
      <c r="F5" s="6"/>
      <c r="G5" s="6"/>
      <c r="H5" s="6"/>
      <c r="I5" s="4">
        <v>222121</v>
      </c>
      <c r="J5" s="4">
        <v>222122</v>
      </c>
      <c r="K5" s="5">
        <v>222123</v>
      </c>
      <c r="L5" s="4">
        <v>222128</v>
      </c>
      <c r="M5" s="4"/>
      <c r="N5" s="4">
        <v>222125</v>
      </c>
      <c r="O5" s="5">
        <v>222126</v>
      </c>
      <c r="P5" s="5">
        <v>222127</v>
      </c>
      <c r="Q5" s="4"/>
      <c r="R5" s="4"/>
      <c r="S5" s="4"/>
    </row>
    <row r="6" ht="13.5" customHeight="1" spans="2:19">
      <c r="B6" s="123">
        <v>1</v>
      </c>
      <c r="C6" s="123">
        <v>1</v>
      </c>
      <c r="D6" s="121"/>
      <c r="E6" s="123" t="s">
        <v>1129</v>
      </c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  <c r="Q6" s="123"/>
      <c r="R6" s="126" t="str">
        <f t="array" ref="R6">IF(SUM(IF(LEFT(KMDM[科目代码],5)*1=22212,1,)*KMDM[年初数])&gt;0,"贷",IF(SUM(IF(LEFT(KMDM[科目代码],5)*1=22212,1,)*KMDM[年初数])&lt;0,"借","平"))</f>
        <v>借</v>
      </c>
      <c r="S6" s="126">
        <f t="array" ref="S6">IF(SUM(IF(LEFT(KMDM[科目代码],5)*1=22212,1,)*KMDM[年初数])&gt;0,SUM(IF(LEFT(KMDM[科目代码],5)*1=22212,1,)*KMDM[年初数]),SUM(IF(LEFT(KMDM[科目代码],5)*1=22212,1,)*KMDM[年初数])*(-1))</f>
        <v>33040.99</v>
      </c>
    </row>
    <row r="7" ht="10.5" hidden="1" customHeight="1" spans="1:19">
      <c r="A7" s="1" t="s">
        <v>35</v>
      </c>
      <c r="B7" s="1" t="s">
        <v>186</v>
      </c>
      <c r="C7" s="1" t="s">
        <v>187</v>
      </c>
      <c r="D7" s="119" t="s">
        <v>188</v>
      </c>
      <c r="E7" s="1" t="s">
        <v>206</v>
      </c>
      <c r="F7" s="1" t="s">
        <v>207</v>
      </c>
      <c r="G7" s="1" t="s">
        <v>208</v>
      </c>
      <c r="H7" s="1" t="s">
        <v>1145</v>
      </c>
      <c r="I7" s="1" t="s">
        <v>1146</v>
      </c>
      <c r="J7" s="1" t="s">
        <v>1133</v>
      </c>
      <c r="K7" s="1" t="s">
        <v>1134</v>
      </c>
      <c r="L7" s="1" t="s">
        <v>1144</v>
      </c>
      <c r="M7" s="1" t="s">
        <v>1157</v>
      </c>
      <c r="N7" s="1" t="s">
        <v>1158</v>
      </c>
      <c r="O7" s="1" t="s">
        <v>1159</v>
      </c>
      <c r="P7" s="1" t="s">
        <v>1160</v>
      </c>
      <c r="Q7" s="1" t="s">
        <v>1161</v>
      </c>
      <c r="R7" s="119" t="s">
        <v>1162</v>
      </c>
      <c r="S7" s="1" t="s">
        <v>1163</v>
      </c>
    </row>
    <row r="8" spans="1:19">
      <c r="A8" s="1">
        <v>222121</v>
      </c>
      <c r="B8" s="1">
        <v>1</v>
      </c>
      <c r="C8" s="1">
        <v>17</v>
      </c>
      <c r="D8" s="119">
        <v>3</v>
      </c>
      <c r="E8" s="1" t="s">
        <v>217</v>
      </c>
      <c r="F8" s="1">
        <v>630.6</v>
      </c>
      <c r="G8" s="1">
        <v>0</v>
      </c>
      <c r="H8" s="124">
        <f t="shared" ref="H8:H36" si="0">F8</f>
        <v>630.6</v>
      </c>
      <c r="I8" s="124">
        <f t="shared" ref="I8:I36" si="1">IF($A8=I$5,$F8,"")</f>
        <v>630.6</v>
      </c>
      <c r="J8" s="124" t="str">
        <f t="shared" ref="J8:J36" si="2">IF($A8=J$5,$F8,"")</f>
        <v/>
      </c>
      <c r="K8" s="124" t="str">
        <f t="shared" ref="K8:K36" si="3">IF($A8=K$5,$F8,"")</f>
        <v/>
      </c>
      <c r="L8" s="124" t="str">
        <f t="shared" ref="L8:L36" si="4">IF($A8=L$5,$F8,"")</f>
        <v/>
      </c>
      <c r="M8" s="124">
        <f t="shared" ref="M8:M36" si="5">G8</f>
        <v>0</v>
      </c>
      <c r="N8" s="124" t="str">
        <f t="shared" ref="N8:N36" si="6">IF($A8=N$5,$G8,"")</f>
        <v/>
      </c>
      <c r="O8" s="124"/>
      <c r="P8" s="124"/>
      <c r="Q8" s="124"/>
      <c r="R8" s="127" t="str">
        <f t="shared" ref="R8:R36" si="7">IF(ROW()=8,IF(S6+M8-H8=S8,"贷",IF(S6-M8+H8=S8,"借",IF(S6+M8-H8&lt;0,"借",IF(S6-M8+H8&lt;0,"贷","平")))),IF(S7+M8-H8=S8,"贷",IF(S7-M8+H8=S8,"借",IF(S7+M8-H8&lt;0,"借",IF(S7-M8+H8&lt;0,"贷","平")))))</f>
        <v>借</v>
      </c>
      <c r="S8" s="128">
        <f t="shared" ref="S8:S36" si="8">IF(IF(ROW()=8,IF(R6="借",S6+H8-M8,S6-H8+M8),IF(R7="借",S7+H8-M8,S7-H8+M8))&lt;0,IF(ROW()=8,IF(R6="借",S6+H8-M8,S6-H8+M8),IF(R7="借",S7+H8-M8,S7-H8+M8))*(-1),IF(ROW()=8,IF(R6="借",S6+H8-M8,S6-H8+M8),IF(R7="借",S7+H8-M8,S7-H8+M8)))</f>
        <v>33671.59</v>
      </c>
    </row>
    <row r="9" spans="1:19">
      <c r="A9" s="118">
        <v>222121</v>
      </c>
      <c r="B9" s="118">
        <v>1</v>
      </c>
      <c r="C9" s="118">
        <v>20</v>
      </c>
      <c r="D9" s="119">
        <v>24</v>
      </c>
      <c r="E9" s="118" t="s">
        <v>54</v>
      </c>
      <c r="F9" s="118">
        <v>229.57</v>
      </c>
      <c r="G9" s="118">
        <v>0</v>
      </c>
      <c r="H9" s="124">
        <f t="shared" si="0"/>
        <v>229.57</v>
      </c>
      <c r="I9" s="124">
        <f t="shared" si="1"/>
        <v>229.57</v>
      </c>
      <c r="J9" s="124" t="str">
        <f t="shared" si="2"/>
        <v/>
      </c>
      <c r="K9" s="124" t="str">
        <f t="shared" si="3"/>
        <v/>
      </c>
      <c r="L9" s="124" t="str">
        <f t="shared" si="4"/>
        <v/>
      </c>
      <c r="M9" s="124">
        <f t="shared" si="5"/>
        <v>0</v>
      </c>
      <c r="N9" s="124" t="str">
        <f t="shared" si="6"/>
        <v/>
      </c>
      <c r="O9" s="124"/>
      <c r="P9" s="124"/>
      <c r="Q9" s="124"/>
      <c r="R9" s="127" t="str">
        <f t="shared" si="7"/>
        <v>借</v>
      </c>
      <c r="S9" s="128">
        <f t="shared" si="8"/>
        <v>33901.16</v>
      </c>
    </row>
    <row r="10" spans="1:19">
      <c r="A10" s="118">
        <v>222125</v>
      </c>
      <c r="B10" s="118">
        <v>2</v>
      </c>
      <c r="C10" s="118">
        <v>24</v>
      </c>
      <c r="D10" s="119">
        <v>9</v>
      </c>
      <c r="E10" s="118" t="s">
        <v>365</v>
      </c>
      <c r="F10" s="118">
        <v>0</v>
      </c>
      <c r="G10" s="118">
        <v>273.16</v>
      </c>
      <c r="H10" s="124">
        <f t="shared" si="0"/>
        <v>0</v>
      </c>
      <c r="I10" s="124" t="str">
        <f t="shared" si="1"/>
        <v/>
      </c>
      <c r="J10" s="124" t="str">
        <f t="shared" si="2"/>
        <v/>
      </c>
      <c r="K10" s="124" t="str">
        <f t="shared" si="3"/>
        <v/>
      </c>
      <c r="L10" s="124" t="str">
        <f t="shared" si="4"/>
        <v/>
      </c>
      <c r="M10" s="124">
        <f t="shared" si="5"/>
        <v>273.16</v>
      </c>
      <c r="N10" s="124">
        <f t="shared" si="6"/>
        <v>273.16</v>
      </c>
      <c r="O10" s="124"/>
      <c r="P10" s="124"/>
      <c r="Q10" s="124"/>
      <c r="R10" s="127" t="str">
        <f t="shared" si="7"/>
        <v>借</v>
      </c>
      <c r="S10" s="128">
        <f t="shared" si="8"/>
        <v>33628</v>
      </c>
    </row>
    <row r="11" spans="1:19">
      <c r="A11" s="118">
        <v>222125</v>
      </c>
      <c r="B11" s="118">
        <v>3</v>
      </c>
      <c r="C11" s="118">
        <v>12</v>
      </c>
      <c r="D11" s="119">
        <v>15</v>
      </c>
      <c r="E11" s="118" t="s">
        <v>411</v>
      </c>
      <c r="F11" s="118">
        <v>0</v>
      </c>
      <c r="G11" s="118">
        <v>235.39</v>
      </c>
      <c r="H11" s="124">
        <f t="shared" si="0"/>
        <v>0</v>
      </c>
      <c r="I11" s="124" t="str">
        <f t="shared" si="1"/>
        <v/>
      </c>
      <c r="J11" s="124" t="str">
        <f t="shared" si="2"/>
        <v/>
      </c>
      <c r="K11" s="124" t="str">
        <f t="shared" si="3"/>
        <v/>
      </c>
      <c r="L11" s="124" t="str">
        <f t="shared" si="4"/>
        <v/>
      </c>
      <c r="M11" s="124">
        <f t="shared" si="5"/>
        <v>235.39</v>
      </c>
      <c r="N11" s="124">
        <f t="shared" si="6"/>
        <v>235.39</v>
      </c>
      <c r="O11" s="124"/>
      <c r="P11" s="124"/>
      <c r="Q11" s="124"/>
      <c r="R11" s="127" t="str">
        <f t="shared" si="7"/>
        <v>借</v>
      </c>
      <c r="S11" s="128">
        <f t="shared" si="8"/>
        <v>33392.61</v>
      </c>
    </row>
    <row r="12" spans="1:19">
      <c r="A12" s="118">
        <v>222125</v>
      </c>
      <c r="B12" s="118">
        <v>3</v>
      </c>
      <c r="C12" s="118">
        <v>20</v>
      </c>
      <c r="D12" s="119">
        <v>24</v>
      </c>
      <c r="E12" s="118" t="s">
        <v>366</v>
      </c>
      <c r="F12" s="118">
        <v>0</v>
      </c>
      <c r="G12" s="118">
        <v>580.04</v>
      </c>
      <c r="H12" s="124">
        <f t="shared" si="0"/>
        <v>0</v>
      </c>
      <c r="I12" s="124" t="str">
        <f t="shared" si="1"/>
        <v/>
      </c>
      <c r="J12" s="124" t="str">
        <f t="shared" si="2"/>
        <v/>
      </c>
      <c r="K12" s="124" t="str">
        <f t="shared" si="3"/>
        <v/>
      </c>
      <c r="L12" s="124" t="str">
        <f t="shared" si="4"/>
        <v/>
      </c>
      <c r="M12" s="124">
        <f t="shared" si="5"/>
        <v>580.04</v>
      </c>
      <c r="N12" s="124">
        <f t="shared" si="6"/>
        <v>580.04</v>
      </c>
      <c r="O12" s="124"/>
      <c r="P12" s="124"/>
      <c r="Q12" s="124"/>
      <c r="R12" s="127" t="str">
        <f t="shared" si="7"/>
        <v>借</v>
      </c>
      <c r="S12" s="128">
        <f t="shared" si="8"/>
        <v>32812.57</v>
      </c>
    </row>
    <row r="13" spans="1:19">
      <c r="A13" s="118">
        <v>222121</v>
      </c>
      <c r="B13" s="118">
        <v>4</v>
      </c>
      <c r="C13" s="118">
        <v>21</v>
      </c>
      <c r="D13" s="119">
        <v>14</v>
      </c>
      <c r="E13" s="118" t="s">
        <v>54</v>
      </c>
      <c r="F13" s="118">
        <v>143.85</v>
      </c>
      <c r="G13" s="118">
        <v>0</v>
      </c>
      <c r="H13" s="124">
        <f t="shared" si="0"/>
        <v>143.85</v>
      </c>
      <c r="I13" s="124">
        <f t="shared" si="1"/>
        <v>143.85</v>
      </c>
      <c r="J13" s="124" t="str">
        <f t="shared" si="2"/>
        <v/>
      </c>
      <c r="K13" s="124" t="str">
        <f t="shared" si="3"/>
        <v/>
      </c>
      <c r="L13" s="124" t="str">
        <f t="shared" si="4"/>
        <v/>
      </c>
      <c r="M13" s="124">
        <f t="shared" si="5"/>
        <v>0</v>
      </c>
      <c r="N13" s="124" t="str">
        <f t="shared" si="6"/>
        <v/>
      </c>
      <c r="O13" s="124"/>
      <c r="P13" s="124"/>
      <c r="Q13" s="124"/>
      <c r="R13" s="127" t="str">
        <f t="shared" si="7"/>
        <v>借</v>
      </c>
      <c r="S13" s="128">
        <f t="shared" si="8"/>
        <v>32956.42</v>
      </c>
    </row>
    <row r="14" spans="1:19">
      <c r="A14" s="118">
        <v>222125</v>
      </c>
      <c r="B14" s="118">
        <v>4</v>
      </c>
      <c r="C14" s="118">
        <v>21</v>
      </c>
      <c r="D14" s="119">
        <v>15</v>
      </c>
      <c r="E14" s="118" t="s">
        <v>366</v>
      </c>
      <c r="F14" s="118">
        <v>0</v>
      </c>
      <c r="G14" s="118">
        <v>50.27</v>
      </c>
      <c r="H14" s="124">
        <f t="shared" si="0"/>
        <v>0</v>
      </c>
      <c r="I14" s="124" t="str">
        <f t="shared" si="1"/>
        <v/>
      </c>
      <c r="J14" s="124" t="str">
        <f t="shared" si="2"/>
        <v/>
      </c>
      <c r="K14" s="124" t="str">
        <f t="shared" si="3"/>
        <v/>
      </c>
      <c r="L14" s="124" t="str">
        <f t="shared" si="4"/>
        <v/>
      </c>
      <c r="M14" s="124">
        <f t="shared" si="5"/>
        <v>50.27</v>
      </c>
      <c r="N14" s="124">
        <f t="shared" si="6"/>
        <v>50.27</v>
      </c>
      <c r="O14" s="124"/>
      <c r="P14" s="124"/>
      <c r="Q14" s="124"/>
      <c r="R14" s="127" t="str">
        <f t="shared" si="7"/>
        <v>借</v>
      </c>
      <c r="S14" s="128">
        <f t="shared" si="8"/>
        <v>32906.15</v>
      </c>
    </row>
    <row r="15" spans="1:19">
      <c r="A15" s="118">
        <v>222121</v>
      </c>
      <c r="B15" s="118">
        <v>5</v>
      </c>
      <c r="C15" s="118">
        <v>20</v>
      </c>
      <c r="D15" s="119">
        <v>21</v>
      </c>
      <c r="E15" s="118" t="s">
        <v>595</v>
      </c>
      <c r="F15" s="118">
        <v>52.31</v>
      </c>
      <c r="G15" s="118">
        <v>0</v>
      </c>
      <c r="H15" s="124">
        <f t="shared" si="0"/>
        <v>52.31</v>
      </c>
      <c r="I15" s="124">
        <f t="shared" si="1"/>
        <v>52.31</v>
      </c>
      <c r="J15" s="124" t="str">
        <f t="shared" si="2"/>
        <v/>
      </c>
      <c r="K15" s="124" t="str">
        <f t="shared" si="3"/>
        <v/>
      </c>
      <c r="L15" s="124" t="str">
        <f t="shared" si="4"/>
        <v/>
      </c>
      <c r="M15" s="124">
        <f t="shared" si="5"/>
        <v>0</v>
      </c>
      <c r="N15" s="124" t="str">
        <f t="shared" si="6"/>
        <v/>
      </c>
      <c r="O15" s="124"/>
      <c r="P15" s="124"/>
      <c r="Q15" s="124"/>
      <c r="R15" s="127" t="str">
        <f t="shared" si="7"/>
        <v>借</v>
      </c>
      <c r="S15" s="128">
        <f t="shared" si="8"/>
        <v>32958.46</v>
      </c>
    </row>
    <row r="16" spans="1:19">
      <c r="A16" s="118">
        <v>222128</v>
      </c>
      <c r="B16" s="118">
        <v>6</v>
      </c>
      <c r="C16" s="118">
        <v>5</v>
      </c>
      <c r="D16" s="119">
        <v>8</v>
      </c>
      <c r="E16" s="118" t="s">
        <v>616</v>
      </c>
      <c r="F16" s="118">
        <v>370</v>
      </c>
      <c r="G16" s="118">
        <v>0</v>
      </c>
      <c r="H16" s="124">
        <f t="shared" si="0"/>
        <v>370</v>
      </c>
      <c r="I16" s="124" t="str">
        <f t="shared" si="1"/>
        <v/>
      </c>
      <c r="J16" s="124" t="str">
        <f t="shared" si="2"/>
        <v/>
      </c>
      <c r="K16" s="124" t="str">
        <f t="shared" si="3"/>
        <v/>
      </c>
      <c r="L16" s="124">
        <f t="shared" si="4"/>
        <v>370</v>
      </c>
      <c r="M16" s="124">
        <f t="shared" si="5"/>
        <v>0</v>
      </c>
      <c r="N16" s="124" t="str">
        <f t="shared" si="6"/>
        <v/>
      </c>
      <c r="O16" s="124"/>
      <c r="P16" s="124"/>
      <c r="Q16" s="124"/>
      <c r="R16" s="127" t="str">
        <f t="shared" si="7"/>
        <v>借</v>
      </c>
      <c r="S16" s="128">
        <f t="shared" si="8"/>
        <v>33328.46</v>
      </c>
    </row>
    <row r="17" spans="1:19">
      <c r="A17" s="118">
        <v>222125</v>
      </c>
      <c r="B17" s="118">
        <v>6</v>
      </c>
      <c r="C17" s="118">
        <v>30</v>
      </c>
      <c r="D17" s="119">
        <v>40</v>
      </c>
      <c r="E17" s="118" t="s">
        <v>670</v>
      </c>
      <c r="F17" s="118">
        <v>0</v>
      </c>
      <c r="G17" s="118">
        <v>610.26</v>
      </c>
      <c r="H17" s="124">
        <f t="shared" si="0"/>
        <v>0</v>
      </c>
      <c r="I17" s="124" t="str">
        <f t="shared" si="1"/>
        <v/>
      </c>
      <c r="J17" s="124" t="str">
        <f t="shared" si="2"/>
        <v/>
      </c>
      <c r="K17" s="124" t="str">
        <f t="shared" si="3"/>
        <v/>
      </c>
      <c r="L17" s="124" t="str">
        <f t="shared" si="4"/>
        <v/>
      </c>
      <c r="M17" s="124">
        <f t="shared" si="5"/>
        <v>610.26</v>
      </c>
      <c r="N17" s="124">
        <f t="shared" si="6"/>
        <v>610.26</v>
      </c>
      <c r="O17" s="124"/>
      <c r="P17" s="124"/>
      <c r="Q17" s="124"/>
      <c r="R17" s="127" t="str">
        <f t="shared" si="7"/>
        <v>借</v>
      </c>
      <c r="S17" s="128">
        <f t="shared" si="8"/>
        <v>32718.2</v>
      </c>
    </row>
    <row r="18" spans="1:19">
      <c r="A18" s="118">
        <v>222125</v>
      </c>
      <c r="B18" s="118">
        <v>7</v>
      </c>
      <c r="C18" s="118">
        <v>14</v>
      </c>
      <c r="D18" s="119">
        <v>13</v>
      </c>
      <c r="E18" s="118" t="s">
        <v>703</v>
      </c>
      <c r="F18" s="118">
        <v>0</v>
      </c>
      <c r="G18" s="118">
        <v>126.41</v>
      </c>
      <c r="H18" s="124">
        <f t="shared" si="0"/>
        <v>0</v>
      </c>
      <c r="I18" s="124" t="str">
        <f t="shared" si="1"/>
        <v/>
      </c>
      <c r="J18" s="124" t="str">
        <f t="shared" si="2"/>
        <v/>
      </c>
      <c r="K18" s="124" t="str">
        <f t="shared" si="3"/>
        <v/>
      </c>
      <c r="L18" s="124" t="str">
        <f t="shared" si="4"/>
        <v/>
      </c>
      <c r="M18" s="124">
        <f t="shared" si="5"/>
        <v>126.41</v>
      </c>
      <c r="N18" s="124">
        <f t="shared" si="6"/>
        <v>126.41</v>
      </c>
      <c r="O18" s="124"/>
      <c r="P18" s="124"/>
      <c r="Q18" s="124"/>
      <c r="R18" s="127" t="str">
        <f t="shared" si="7"/>
        <v>借</v>
      </c>
      <c r="S18" s="128">
        <f t="shared" si="8"/>
        <v>32591.79</v>
      </c>
    </row>
    <row r="19" spans="1:19">
      <c r="A19" s="118">
        <v>222125</v>
      </c>
      <c r="B19" s="118">
        <v>8</v>
      </c>
      <c r="C19" s="118">
        <v>30</v>
      </c>
      <c r="D19" s="119">
        <v>31</v>
      </c>
      <c r="E19" s="118" t="s">
        <v>788</v>
      </c>
      <c r="F19" s="118">
        <v>0</v>
      </c>
      <c r="G19" s="118">
        <v>181.62</v>
      </c>
      <c r="H19" s="124">
        <f t="shared" si="0"/>
        <v>0</v>
      </c>
      <c r="I19" s="124" t="str">
        <f t="shared" si="1"/>
        <v/>
      </c>
      <c r="J19" s="124" t="str">
        <f t="shared" si="2"/>
        <v/>
      </c>
      <c r="K19" s="124" t="str">
        <f t="shared" si="3"/>
        <v/>
      </c>
      <c r="L19" s="124" t="str">
        <f t="shared" si="4"/>
        <v/>
      </c>
      <c r="M19" s="124">
        <f t="shared" si="5"/>
        <v>181.62</v>
      </c>
      <c r="N19" s="124">
        <f t="shared" si="6"/>
        <v>181.62</v>
      </c>
      <c r="O19" s="124"/>
      <c r="P19" s="124"/>
      <c r="Q19" s="124"/>
      <c r="R19" s="127" t="str">
        <f t="shared" si="7"/>
        <v>借</v>
      </c>
      <c r="S19" s="128">
        <f t="shared" si="8"/>
        <v>32410.17</v>
      </c>
    </row>
    <row r="20" spans="1:19">
      <c r="A20" s="118">
        <v>222125</v>
      </c>
      <c r="B20" s="118">
        <v>9</v>
      </c>
      <c r="C20" s="118">
        <v>19</v>
      </c>
      <c r="D20" s="119">
        <v>9</v>
      </c>
      <c r="E20" s="118" t="s">
        <v>820</v>
      </c>
      <c r="F20" s="118">
        <v>0</v>
      </c>
      <c r="G20" s="118">
        <v>75.56</v>
      </c>
      <c r="H20" s="124">
        <f t="shared" si="0"/>
        <v>0</v>
      </c>
      <c r="I20" s="124" t="str">
        <f t="shared" si="1"/>
        <v/>
      </c>
      <c r="J20" s="124" t="str">
        <f t="shared" si="2"/>
        <v/>
      </c>
      <c r="K20" s="124" t="str">
        <f t="shared" si="3"/>
        <v/>
      </c>
      <c r="L20" s="124" t="str">
        <f t="shared" si="4"/>
        <v/>
      </c>
      <c r="M20" s="124">
        <f t="shared" si="5"/>
        <v>75.56</v>
      </c>
      <c r="N20" s="124">
        <f t="shared" si="6"/>
        <v>75.56</v>
      </c>
      <c r="O20" s="124"/>
      <c r="P20" s="124"/>
      <c r="Q20" s="124"/>
      <c r="R20" s="127" t="str">
        <f t="shared" si="7"/>
        <v>借</v>
      </c>
      <c r="S20" s="128">
        <f t="shared" si="8"/>
        <v>32334.61</v>
      </c>
    </row>
    <row r="21" spans="1:19">
      <c r="A21" s="118">
        <v>222121</v>
      </c>
      <c r="B21" s="118">
        <v>9</v>
      </c>
      <c r="C21" s="118">
        <v>19</v>
      </c>
      <c r="D21" s="119">
        <v>27</v>
      </c>
      <c r="E21" s="118" t="s">
        <v>849</v>
      </c>
      <c r="F21" s="118">
        <v>851.45</v>
      </c>
      <c r="G21" s="118">
        <v>0</v>
      </c>
      <c r="H21" s="124">
        <f t="shared" si="0"/>
        <v>851.45</v>
      </c>
      <c r="I21" s="124">
        <f t="shared" si="1"/>
        <v>851.45</v>
      </c>
      <c r="J21" s="124" t="str">
        <f t="shared" si="2"/>
        <v/>
      </c>
      <c r="K21" s="124" t="str">
        <f t="shared" si="3"/>
        <v/>
      </c>
      <c r="L21" s="124" t="str">
        <f t="shared" si="4"/>
        <v/>
      </c>
      <c r="M21" s="124">
        <f t="shared" si="5"/>
        <v>0</v>
      </c>
      <c r="N21" s="124" t="str">
        <f t="shared" si="6"/>
        <v/>
      </c>
      <c r="O21" s="124"/>
      <c r="P21" s="124"/>
      <c r="Q21" s="124"/>
      <c r="R21" s="127" t="str">
        <f t="shared" si="7"/>
        <v>借</v>
      </c>
      <c r="S21" s="128">
        <f t="shared" si="8"/>
        <v>33186.06</v>
      </c>
    </row>
    <row r="22" spans="1:19">
      <c r="A22" s="118">
        <v>222121</v>
      </c>
      <c r="B22" s="118">
        <v>9</v>
      </c>
      <c r="C22" s="118">
        <v>19</v>
      </c>
      <c r="D22" s="119">
        <v>28</v>
      </c>
      <c r="E22" s="118" t="s">
        <v>850</v>
      </c>
      <c r="F22" s="118">
        <v>12277.78</v>
      </c>
      <c r="G22" s="118">
        <v>0</v>
      </c>
      <c r="H22" s="124">
        <f t="shared" si="0"/>
        <v>12277.78</v>
      </c>
      <c r="I22" s="124">
        <f t="shared" si="1"/>
        <v>12277.78</v>
      </c>
      <c r="J22" s="124" t="str">
        <f t="shared" si="2"/>
        <v/>
      </c>
      <c r="K22" s="124" t="str">
        <f t="shared" si="3"/>
        <v/>
      </c>
      <c r="L22" s="124" t="str">
        <f t="shared" si="4"/>
        <v/>
      </c>
      <c r="M22" s="124">
        <f t="shared" si="5"/>
        <v>0</v>
      </c>
      <c r="N22" s="124" t="str">
        <f t="shared" si="6"/>
        <v/>
      </c>
      <c r="O22" s="124"/>
      <c r="P22" s="124"/>
      <c r="Q22" s="124"/>
      <c r="R22" s="127" t="str">
        <f t="shared" si="7"/>
        <v>借</v>
      </c>
      <c r="S22" s="128">
        <f t="shared" si="8"/>
        <v>45463.84</v>
      </c>
    </row>
    <row r="23" spans="1:19">
      <c r="A23" s="118">
        <v>222125</v>
      </c>
      <c r="B23" s="118">
        <v>9</v>
      </c>
      <c r="C23" s="118">
        <v>24</v>
      </c>
      <c r="D23" s="119">
        <v>31</v>
      </c>
      <c r="E23" s="118" t="s">
        <v>856</v>
      </c>
      <c r="F23" s="118">
        <v>0</v>
      </c>
      <c r="G23" s="118">
        <v>1259.45</v>
      </c>
      <c r="H23" s="124">
        <f t="shared" si="0"/>
        <v>0</v>
      </c>
      <c r="I23" s="124" t="str">
        <f t="shared" si="1"/>
        <v/>
      </c>
      <c r="J23" s="124" t="str">
        <f t="shared" si="2"/>
        <v/>
      </c>
      <c r="K23" s="124" t="str">
        <f t="shared" si="3"/>
        <v/>
      </c>
      <c r="L23" s="124" t="str">
        <f t="shared" si="4"/>
        <v/>
      </c>
      <c r="M23" s="124">
        <f t="shared" si="5"/>
        <v>1259.45</v>
      </c>
      <c r="N23" s="124">
        <f t="shared" si="6"/>
        <v>1259.45</v>
      </c>
      <c r="O23" s="124"/>
      <c r="P23" s="124"/>
      <c r="Q23" s="124"/>
      <c r="R23" s="127" t="str">
        <f t="shared" si="7"/>
        <v>借</v>
      </c>
      <c r="S23" s="128">
        <f t="shared" si="8"/>
        <v>44204.39</v>
      </c>
    </row>
    <row r="24" spans="1:19">
      <c r="A24" s="118">
        <v>222121</v>
      </c>
      <c r="B24" s="118">
        <v>9</v>
      </c>
      <c r="C24" s="118">
        <v>24</v>
      </c>
      <c r="D24" s="119">
        <v>32</v>
      </c>
      <c r="E24" s="118" t="s">
        <v>858</v>
      </c>
      <c r="F24" s="118">
        <v>56.6</v>
      </c>
      <c r="G24" s="118">
        <v>0</v>
      </c>
      <c r="H24" s="124">
        <f t="shared" si="0"/>
        <v>56.6</v>
      </c>
      <c r="I24" s="124">
        <f t="shared" si="1"/>
        <v>56.6</v>
      </c>
      <c r="J24" s="124" t="str">
        <f t="shared" si="2"/>
        <v/>
      </c>
      <c r="K24" s="124" t="str">
        <f t="shared" si="3"/>
        <v/>
      </c>
      <c r="L24" s="124" t="str">
        <f t="shared" si="4"/>
        <v/>
      </c>
      <c r="M24" s="124">
        <f t="shared" si="5"/>
        <v>0</v>
      </c>
      <c r="N24" s="124" t="str">
        <f t="shared" si="6"/>
        <v/>
      </c>
      <c r="O24" s="124"/>
      <c r="P24" s="124"/>
      <c r="Q24" s="124"/>
      <c r="R24" s="127" t="str">
        <f t="shared" si="7"/>
        <v>借</v>
      </c>
      <c r="S24" s="128">
        <f t="shared" si="8"/>
        <v>44260.99</v>
      </c>
    </row>
    <row r="25" spans="1:19">
      <c r="A25" s="118">
        <v>222125</v>
      </c>
      <c r="B25" s="118">
        <v>9</v>
      </c>
      <c r="C25" s="118">
        <v>24</v>
      </c>
      <c r="D25" s="119">
        <v>36</v>
      </c>
      <c r="E25" s="118" t="s">
        <v>866</v>
      </c>
      <c r="F25" s="118">
        <v>0</v>
      </c>
      <c r="G25" s="118">
        <v>50564.1</v>
      </c>
      <c r="H25" s="124">
        <f t="shared" si="0"/>
        <v>0</v>
      </c>
      <c r="I25" s="124" t="str">
        <f t="shared" si="1"/>
        <v/>
      </c>
      <c r="J25" s="124" t="str">
        <f t="shared" si="2"/>
        <v/>
      </c>
      <c r="K25" s="124" t="str">
        <f t="shared" si="3"/>
        <v/>
      </c>
      <c r="L25" s="124" t="str">
        <f t="shared" si="4"/>
        <v/>
      </c>
      <c r="M25" s="124">
        <f t="shared" si="5"/>
        <v>50564.1</v>
      </c>
      <c r="N25" s="124">
        <f t="shared" si="6"/>
        <v>50564.1</v>
      </c>
      <c r="O25" s="124"/>
      <c r="P25" s="124"/>
      <c r="Q25" s="124"/>
      <c r="R25" s="127" t="str">
        <f t="shared" si="7"/>
        <v>贷</v>
      </c>
      <c r="S25" s="128">
        <f t="shared" si="8"/>
        <v>6303.11000000001</v>
      </c>
    </row>
    <row r="26" spans="1:19">
      <c r="A26" s="118">
        <v>222123</v>
      </c>
      <c r="B26" s="118">
        <v>9</v>
      </c>
      <c r="C26" s="118">
        <v>30</v>
      </c>
      <c r="D26" s="119">
        <v>56</v>
      </c>
      <c r="E26" s="118" t="s">
        <v>900</v>
      </c>
      <c r="F26" s="118">
        <v>6303.06</v>
      </c>
      <c r="G26" s="118">
        <v>0</v>
      </c>
      <c r="H26" s="124">
        <f t="shared" si="0"/>
        <v>6303.06</v>
      </c>
      <c r="I26" s="124" t="str">
        <f t="shared" si="1"/>
        <v/>
      </c>
      <c r="J26" s="124" t="str">
        <f t="shared" si="2"/>
        <v/>
      </c>
      <c r="K26" s="124">
        <f t="shared" si="3"/>
        <v>6303.06</v>
      </c>
      <c r="L26" s="124" t="str">
        <f t="shared" si="4"/>
        <v/>
      </c>
      <c r="M26" s="124">
        <f t="shared" si="5"/>
        <v>0</v>
      </c>
      <c r="N26" s="124" t="str">
        <f t="shared" si="6"/>
        <v/>
      </c>
      <c r="O26" s="124"/>
      <c r="P26" s="124"/>
      <c r="Q26" s="124"/>
      <c r="R26" s="127" t="str">
        <f t="shared" si="7"/>
        <v>贷</v>
      </c>
      <c r="S26" s="128">
        <f t="shared" si="8"/>
        <v>0.0500000000074579</v>
      </c>
    </row>
    <row r="27" spans="1:19">
      <c r="A27" s="118">
        <v>222121</v>
      </c>
      <c r="B27" s="118">
        <v>10</v>
      </c>
      <c r="C27" s="118">
        <v>14</v>
      </c>
      <c r="D27" s="119">
        <v>14</v>
      </c>
      <c r="E27" s="118" t="s">
        <v>929</v>
      </c>
      <c r="F27" s="118">
        <v>38669.53</v>
      </c>
      <c r="G27" s="118">
        <v>0</v>
      </c>
      <c r="H27" s="124">
        <f t="shared" si="0"/>
        <v>38669.53</v>
      </c>
      <c r="I27" s="124">
        <f t="shared" si="1"/>
        <v>38669.53</v>
      </c>
      <c r="J27" s="124" t="str">
        <f t="shared" si="2"/>
        <v/>
      </c>
      <c r="K27" s="124" t="str">
        <f t="shared" si="3"/>
        <v/>
      </c>
      <c r="L27" s="124" t="str">
        <f t="shared" si="4"/>
        <v/>
      </c>
      <c r="M27" s="124">
        <f t="shared" si="5"/>
        <v>0</v>
      </c>
      <c r="N27" s="124" t="str">
        <f t="shared" si="6"/>
        <v/>
      </c>
      <c r="O27" s="124"/>
      <c r="P27" s="124"/>
      <c r="Q27" s="124"/>
      <c r="R27" s="127" t="str">
        <f t="shared" si="7"/>
        <v>借</v>
      </c>
      <c r="S27" s="128">
        <f t="shared" si="8"/>
        <v>38669.48</v>
      </c>
    </row>
    <row r="28" spans="1:19">
      <c r="A28" s="118">
        <v>222121</v>
      </c>
      <c r="B28" s="118">
        <v>10</v>
      </c>
      <c r="C28" s="118">
        <v>14</v>
      </c>
      <c r="D28" s="119">
        <v>15</v>
      </c>
      <c r="E28" s="118" t="s">
        <v>931</v>
      </c>
      <c r="F28" s="118">
        <v>475.68</v>
      </c>
      <c r="G28" s="118">
        <v>0</v>
      </c>
      <c r="H28" s="124">
        <f t="shared" si="0"/>
        <v>475.68</v>
      </c>
      <c r="I28" s="124">
        <f t="shared" si="1"/>
        <v>475.68</v>
      </c>
      <c r="J28" s="124" t="str">
        <f t="shared" si="2"/>
        <v/>
      </c>
      <c r="K28" s="124" t="str">
        <f t="shared" si="3"/>
        <v/>
      </c>
      <c r="L28" s="124" t="str">
        <f t="shared" si="4"/>
        <v/>
      </c>
      <c r="M28" s="124">
        <f t="shared" si="5"/>
        <v>0</v>
      </c>
      <c r="N28" s="124" t="str">
        <f t="shared" si="6"/>
        <v/>
      </c>
      <c r="O28" s="124"/>
      <c r="P28" s="124"/>
      <c r="Q28" s="124"/>
      <c r="R28" s="127" t="str">
        <f t="shared" si="7"/>
        <v>借</v>
      </c>
      <c r="S28" s="128">
        <f t="shared" si="8"/>
        <v>39145.16</v>
      </c>
    </row>
    <row r="29" spans="1:19">
      <c r="A29" s="118">
        <v>222121</v>
      </c>
      <c r="B29" s="118">
        <v>10</v>
      </c>
      <c r="C29" s="118">
        <v>29</v>
      </c>
      <c r="D29" s="119">
        <v>26</v>
      </c>
      <c r="E29" s="118" t="s">
        <v>88</v>
      </c>
      <c r="F29" s="118">
        <v>21.07</v>
      </c>
      <c r="G29" s="118">
        <v>0</v>
      </c>
      <c r="H29" s="124">
        <f t="shared" si="0"/>
        <v>21.07</v>
      </c>
      <c r="I29" s="124">
        <f t="shared" si="1"/>
        <v>21.07</v>
      </c>
      <c r="J29" s="124" t="str">
        <f t="shared" si="2"/>
        <v/>
      </c>
      <c r="K29" s="124" t="str">
        <f t="shared" si="3"/>
        <v/>
      </c>
      <c r="L29" s="124" t="str">
        <f t="shared" si="4"/>
        <v/>
      </c>
      <c r="M29" s="124">
        <f t="shared" si="5"/>
        <v>0</v>
      </c>
      <c r="N29" s="124" t="str">
        <f t="shared" si="6"/>
        <v/>
      </c>
      <c r="O29" s="124"/>
      <c r="P29" s="124"/>
      <c r="Q29" s="124"/>
      <c r="R29" s="127" t="str">
        <f t="shared" si="7"/>
        <v>借</v>
      </c>
      <c r="S29" s="128">
        <f t="shared" si="8"/>
        <v>39166.23</v>
      </c>
    </row>
    <row r="30" spans="1:19">
      <c r="A30" s="118">
        <v>222121</v>
      </c>
      <c r="B30" s="118">
        <v>10</v>
      </c>
      <c r="C30" s="118">
        <v>29</v>
      </c>
      <c r="D30" s="119">
        <v>27</v>
      </c>
      <c r="E30" s="118" t="s">
        <v>851</v>
      </c>
      <c r="F30" s="118">
        <v>17581.2</v>
      </c>
      <c r="G30" s="118">
        <v>0</v>
      </c>
      <c r="H30" s="124">
        <f t="shared" si="0"/>
        <v>17581.2</v>
      </c>
      <c r="I30" s="124">
        <f t="shared" si="1"/>
        <v>17581.2</v>
      </c>
      <c r="J30" s="124" t="str">
        <f t="shared" si="2"/>
        <v/>
      </c>
      <c r="K30" s="124" t="str">
        <f t="shared" si="3"/>
        <v/>
      </c>
      <c r="L30" s="124" t="str">
        <f t="shared" si="4"/>
        <v/>
      </c>
      <c r="M30" s="124">
        <f t="shared" si="5"/>
        <v>0</v>
      </c>
      <c r="N30" s="124" t="str">
        <f t="shared" si="6"/>
        <v/>
      </c>
      <c r="O30" s="124"/>
      <c r="P30" s="124"/>
      <c r="Q30" s="124"/>
      <c r="R30" s="127" t="str">
        <f t="shared" si="7"/>
        <v>借</v>
      </c>
      <c r="S30" s="128">
        <f t="shared" si="8"/>
        <v>56747.43</v>
      </c>
    </row>
    <row r="31" spans="1:19">
      <c r="A31" s="118">
        <v>222121</v>
      </c>
      <c r="B31" s="118">
        <v>11</v>
      </c>
      <c r="C31" s="118">
        <v>11</v>
      </c>
      <c r="D31" s="119">
        <v>7</v>
      </c>
      <c r="E31" s="118" t="s">
        <v>961</v>
      </c>
      <c r="F31" s="118">
        <v>2542.74</v>
      </c>
      <c r="G31" s="118">
        <v>0</v>
      </c>
      <c r="H31" s="124">
        <f t="shared" si="0"/>
        <v>2542.74</v>
      </c>
      <c r="I31" s="124">
        <f t="shared" si="1"/>
        <v>2542.74</v>
      </c>
      <c r="J31" s="124" t="str">
        <f t="shared" si="2"/>
        <v/>
      </c>
      <c r="K31" s="124" t="str">
        <f t="shared" si="3"/>
        <v/>
      </c>
      <c r="L31" s="124" t="str">
        <f t="shared" si="4"/>
        <v/>
      </c>
      <c r="M31" s="124">
        <f t="shared" si="5"/>
        <v>0</v>
      </c>
      <c r="N31" s="124" t="str">
        <f t="shared" si="6"/>
        <v/>
      </c>
      <c r="O31" s="124"/>
      <c r="P31" s="124"/>
      <c r="Q31" s="124"/>
      <c r="R31" s="127" t="str">
        <f t="shared" si="7"/>
        <v>借</v>
      </c>
      <c r="S31" s="128">
        <f t="shared" si="8"/>
        <v>59290.17</v>
      </c>
    </row>
    <row r="32" spans="1:19">
      <c r="A32" s="118">
        <v>222121</v>
      </c>
      <c r="B32" s="118">
        <v>11</v>
      </c>
      <c r="C32" s="118">
        <v>30</v>
      </c>
      <c r="D32" s="119">
        <v>9</v>
      </c>
      <c r="E32" s="118" t="s">
        <v>1022</v>
      </c>
      <c r="F32" s="118">
        <v>290.6</v>
      </c>
      <c r="G32" s="118">
        <v>0</v>
      </c>
      <c r="H32" s="124">
        <f t="shared" si="0"/>
        <v>290.6</v>
      </c>
      <c r="I32" s="124">
        <f t="shared" si="1"/>
        <v>290.6</v>
      </c>
      <c r="J32" s="124" t="str">
        <f t="shared" si="2"/>
        <v/>
      </c>
      <c r="K32" s="124" t="str">
        <f t="shared" si="3"/>
        <v/>
      </c>
      <c r="L32" s="124" t="str">
        <f t="shared" si="4"/>
        <v/>
      </c>
      <c r="M32" s="124">
        <f t="shared" si="5"/>
        <v>0</v>
      </c>
      <c r="N32" s="124" t="str">
        <f t="shared" si="6"/>
        <v/>
      </c>
      <c r="O32" s="124"/>
      <c r="P32" s="124"/>
      <c r="Q32" s="124"/>
      <c r="R32" s="127" t="str">
        <f t="shared" si="7"/>
        <v>借</v>
      </c>
      <c r="S32" s="128">
        <f t="shared" si="8"/>
        <v>59580.77</v>
      </c>
    </row>
    <row r="33" spans="1:19">
      <c r="A33" s="118">
        <v>222121</v>
      </c>
      <c r="B33" s="118">
        <v>11</v>
      </c>
      <c r="C33" s="118">
        <v>11</v>
      </c>
      <c r="D33" s="119">
        <v>10</v>
      </c>
      <c r="E33" s="118" t="s">
        <v>54</v>
      </c>
      <c r="F33" s="118">
        <v>13.37</v>
      </c>
      <c r="G33" s="118">
        <v>0</v>
      </c>
      <c r="H33" s="124">
        <f t="shared" si="0"/>
        <v>13.37</v>
      </c>
      <c r="I33" s="124">
        <f t="shared" si="1"/>
        <v>13.37</v>
      </c>
      <c r="J33" s="124" t="str">
        <f t="shared" si="2"/>
        <v/>
      </c>
      <c r="K33" s="124" t="str">
        <f t="shared" si="3"/>
        <v/>
      </c>
      <c r="L33" s="124" t="str">
        <f t="shared" si="4"/>
        <v/>
      </c>
      <c r="M33" s="124">
        <f t="shared" si="5"/>
        <v>0</v>
      </c>
      <c r="N33" s="124" t="str">
        <f t="shared" si="6"/>
        <v/>
      </c>
      <c r="O33" s="124"/>
      <c r="P33" s="124"/>
      <c r="Q33" s="124"/>
      <c r="R33" s="127" t="str">
        <f t="shared" si="7"/>
        <v>借</v>
      </c>
      <c r="S33" s="128">
        <f t="shared" si="8"/>
        <v>59594.14</v>
      </c>
    </row>
    <row r="34" spans="1:19">
      <c r="A34" s="118">
        <v>222121</v>
      </c>
      <c r="B34" s="118">
        <v>11</v>
      </c>
      <c r="C34" s="118">
        <v>11</v>
      </c>
      <c r="D34" s="119">
        <v>14</v>
      </c>
      <c r="E34" s="118" t="s">
        <v>969</v>
      </c>
      <c r="F34" s="118">
        <v>61.13</v>
      </c>
      <c r="G34" s="118">
        <v>0</v>
      </c>
      <c r="H34" s="124">
        <f t="shared" si="0"/>
        <v>61.13</v>
      </c>
      <c r="I34" s="124">
        <f t="shared" si="1"/>
        <v>61.13</v>
      </c>
      <c r="J34" s="124" t="str">
        <f t="shared" si="2"/>
        <v/>
      </c>
      <c r="K34" s="124" t="str">
        <f t="shared" si="3"/>
        <v/>
      </c>
      <c r="L34" s="124" t="str">
        <f t="shared" si="4"/>
        <v/>
      </c>
      <c r="M34" s="124">
        <f t="shared" si="5"/>
        <v>0</v>
      </c>
      <c r="N34" s="124" t="str">
        <f t="shared" si="6"/>
        <v/>
      </c>
      <c r="O34" s="124"/>
      <c r="P34" s="124"/>
      <c r="Q34" s="124"/>
      <c r="R34" s="127" t="str">
        <f t="shared" si="7"/>
        <v>借</v>
      </c>
      <c r="S34" s="128">
        <f t="shared" si="8"/>
        <v>59655.27</v>
      </c>
    </row>
    <row r="35" spans="1:19">
      <c r="A35" s="118">
        <v>222125</v>
      </c>
      <c r="B35" s="118">
        <v>11</v>
      </c>
      <c r="C35" s="118">
        <v>30</v>
      </c>
      <c r="D35" s="119">
        <v>44</v>
      </c>
      <c r="E35" s="118" t="s">
        <v>1008</v>
      </c>
      <c r="F35" s="118">
        <v>0</v>
      </c>
      <c r="G35" s="118">
        <v>59979.47</v>
      </c>
      <c r="H35" s="124">
        <f t="shared" si="0"/>
        <v>0</v>
      </c>
      <c r="I35" s="124" t="str">
        <f t="shared" si="1"/>
        <v/>
      </c>
      <c r="J35" s="124" t="str">
        <f t="shared" si="2"/>
        <v/>
      </c>
      <c r="K35" s="124" t="str">
        <f t="shared" si="3"/>
        <v/>
      </c>
      <c r="L35" s="124" t="str">
        <f t="shared" si="4"/>
        <v/>
      </c>
      <c r="M35" s="124">
        <f t="shared" si="5"/>
        <v>59979.47</v>
      </c>
      <c r="N35" s="124">
        <f t="shared" si="6"/>
        <v>59979.47</v>
      </c>
      <c r="O35" s="124"/>
      <c r="P35" s="124"/>
      <c r="Q35" s="124"/>
      <c r="R35" s="127" t="str">
        <f t="shared" si="7"/>
        <v>贷</v>
      </c>
      <c r="S35" s="128">
        <f t="shared" si="8"/>
        <v>324.200000000012</v>
      </c>
    </row>
    <row r="36" spans="1:19">
      <c r="A36" s="118">
        <v>222121</v>
      </c>
      <c r="B36" s="118">
        <v>11</v>
      </c>
      <c r="C36" s="118">
        <v>30</v>
      </c>
      <c r="D36" s="119">
        <v>47</v>
      </c>
      <c r="E36" s="118" t="s">
        <v>1012</v>
      </c>
      <c r="F36" s="118">
        <v>929.91</v>
      </c>
      <c r="G36" s="118">
        <v>0</v>
      </c>
      <c r="H36" s="124">
        <f t="shared" si="0"/>
        <v>929.91</v>
      </c>
      <c r="I36" s="124">
        <f t="shared" si="1"/>
        <v>929.91</v>
      </c>
      <c r="J36" s="124" t="str">
        <f t="shared" si="2"/>
        <v/>
      </c>
      <c r="K36" s="124" t="str">
        <f t="shared" si="3"/>
        <v/>
      </c>
      <c r="L36" s="124" t="str">
        <f t="shared" si="4"/>
        <v/>
      </c>
      <c r="M36" s="124">
        <f t="shared" si="5"/>
        <v>0</v>
      </c>
      <c r="N36" s="124" t="str">
        <f t="shared" si="6"/>
        <v/>
      </c>
      <c r="O36" s="124"/>
      <c r="P36" s="124"/>
      <c r="Q36" s="124"/>
      <c r="R36" s="127" t="str">
        <f t="shared" si="7"/>
        <v>借</v>
      </c>
      <c r="S36" s="128">
        <f t="shared" si="8"/>
        <v>605.709999999988</v>
      </c>
    </row>
  </sheetData>
  <mergeCells count="8">
    <mergeCell ref="B3:C3"/>
    <mergeCell ref="H3:L3"/>
    <mergeCell ref="M3:Q3"/>
    <mergeCell ref="D3:D4"/>
    <mergeCell ref="E3:E4"/>
    <mergeCell ref="R3:R4"/>
    <mergeCell ref="S3:S4"/>
    <mergeCell ref="B1:S2"/>
  </mergeCells>
  <pageMargins left="0.699305555555556" right="0.699305555555556" top="0.75" bottom="0.75" header="0.3" footer="0.3"/>
  <pageSetup paperSize="9" orientation="portrait" horizontalDpi="180" verticalDpi="180"/>
  <headerFooter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O132"/>
  <sheetViews>
    <sheetView workbookViewId="0">
      <selection activeCell="E10" sqref="E10"/>
    </sheetView>
  </sheetViews>
  <sheetFormatPr defaultColWidth="9" defaultRowHeight="15"/>
  <cols>
    <col min="1" max="1" width="6.24761904761905" customWidth="1"/>
    <col min="2" max="2" width="10.5047619047619" customWidth="1"/>
    <col min="3" max="3" width="7.12380952380952" customWidth="1"/>
    <col min="4" max="4" width="5.5047619047619" customWidth="1"/>
    <col min="5" max="5" width="12.752380952381" customWidth="1"/>
    <col min="6" max="6" width="9" customWidth="1"/>
    <col min="7" max="7" width="10.752380952381" customWidth="1"/>
    <col min="8" max="8" width="15.1238095238095" customWidth="1"/>
    <col min="9" max="9" width="4.87619047619048" customWidth="1"/>
    <col min="10" max="10" width="1.75238095238095" customWidth="1"/>
    <col min="11" max="11" width="11.752380952381" customWidth="1"/>
    <col min="12" max="12" width="16.3714285714286" customWidth="1"/>
    <col min="13" max="13" width="9.62857142857143" customWidth="1"/>
    <col min="14" max="14" width="14.1238095238095" customWidth="1"/>
    <col min="15" max="15" width="15.247619047619" customWidth="1"/>
  </cols>
  <sheetData>
    <row r="1" spans="1:15">
      <c r="A1" s="114" t="s">
        <v>1164</v>
      </c>
      <c r="B1" s="114"/>
      <c r="C1" s="115"/>
      <c r="D1" s="114" t="s">
        <v>1165</v>
      </c>
      <c r="E1" s="114"/>
      <c r="F1" s="114"/>
      <c r="G1" s="116" t="s">
        <v>1166</v>
      </c>
      <c r="H1" s="116"/>
      <c r="I1" s="116"/>
      <c r="K1" s="41" t="s">
        <v>1167</v>
      </c>
      <c r="L1" s="41"/>
      <c r="M1" t="s">
        <v>47</v>
      </c>
      <c r="N1" t="s">
        <v>1168</v>
      </c>
      <c r="O1" t="s">
        <v>36</v>
      </c>
    </row>
    <row r="2" spans="1:12">
      <c r="A2" s="41" t="s">
        <v>1169</v>
      </c>
      <c r="B2" s="41"/>
      <c r="E2" t="s">
        <v>1170</v>
      </c>
      <c r="H2" s="117" t="s">
        <v>1171</v>
      </c>
      <c r="K2" s="41" t="s">
        <v>1172</v>
      </c>
      <c r="L2" s="41"/>
    </row>
    <row r="3" spans="14:15">
      <c r="N3" t="s">
        <v>1173</v>
      </c>
      <c r="O3" t="s">
        <v>46</v>
      </c>
    </row>
    <row r="4" spans="1:15">
      <c r="A4" t="s">
        <v>1174</v>
      </c>
      <c r="B4" t="s">
        <v>1175</v>
      </c>
      <c r="D4" t="s">
        <v>1176</v>
      </c>
      <c r="E4" t="s">
        <v>1177</v>
      </c>
      <c r="F4" t="s">
        <v>1145</v>
      </c>
      <c r="G4" t="s">
        <v>1178</v>
      </c>
      <c r="H4" t="s">
        <v>36</v>
      </c>
      <c r="I4" t="s">
        <v>1145</v>
      </c>
      <c r="K4" t="s">
        <v>35</v>
      </c>
      <c r="L4" t="s">
        <v>1179</v>
      </c>
      <c r="N4" t="s">
        <v>1180</v>
      </c>
      <c r="O4" t="s">
        <v>47</v>
      </c>
    </row>
    <row r="5" spans="1:15">
      <c r="A5" t="s">
        <v>1173</v>
      </c>
      <c r="B5">
        <v>14541.7999999999</v>
      </c>
      <c r="D5" t="s">
        <v>1173</v>
      </c>
      <c r="E5">
        <v>82280.55</v>
      </c>
      <c r="K5">
        <v>100101</v>
      </c>
      <c r="L5">
        <v>82280.55</v>
      </c>
      <c r="N5" t="s">
        <v>1132</v>
      </c>
      <c r="O5" t="s">
        <v>49</v>
      </c>
    </row>
    <row r="6" spans="1:15">
      <c r="A6" t="s">
        <v>1180</v>
      </c>
      <c r="B6">
        <v>321591.2</v>
      </c>
      <c r="D6" t="s">
        <v>1180</v>
      </c>
      <c r="E6">
        <v>-327273.56</v>
      </c>
      <c r="G6" t="s">
        <v>1173</v>
      </c>
      <c r="H6" t="s">
        <v>46</v>
      </c>
      <c r="I6">
        <v>1</v>
      </c>
      <c r="K6">
        <v>100201</v>
      </c>
      <c r="L6">
        <v>-327273.56</v>
      </c>
      <c r="N6" t="s">
        <v>1181</v>
      </c>
      <c r="O6" t="s">
        <v>64</v>
      </c>
    </row>
    <row r="7" spans="1:15">
      <c r="A7" t="s">
        <v>1132</v>
      </c>
      <c r="B7">
        <v>227060</v>
      </c>
      <c r="D7" t="s">
        <v>1132</v>
      </c>
      <c r="E7">
        <v>327858</v>
      </c>
      <c r="G7" t="s">
        <v>1180</v>
      </c>
      <c r="H7" t="s">
        <v>47</v>
      </c>
      <c r="I7">
        <v>1</v>
      </c>
      <c r="K7">
        <v>112201</v>
      </c>
      <c r="L7">
        <v>-34150</v>
      </c>
      <c r="N7" t="s">
        <v>1182</v>
      </c>
      <c r="O7" t="s">
        <v>78</v>
      </c>
    </row>
    <row r="8" spans="1:15">
      <c r="A8" t="s">
        <v>1181</v>
      </c>
      <c r="B8">
        <v>-94460</v>
      </c>
      <c r="D8" t="s">
        <v>1181</v>
      </c>
      <c r="E8">
        <v>94510</v>
      </c>
      <c r="G8" t="s">
        <v>1132</v>
      </c>
      <c r="H8" t="s">
        <v>49</v>
      </c>
      <c r="I8">
        <v>1</v>
      </c>
      <c r="K8">
        <v>112202</v>
      </c>
      <c r="L8">
        <v>-116600</v>
      </c>
      <c r="N8" t="s">
        <v>1183</v>
      </c>
      <c r="O8" t="s">
        <v>87</v>
      </c>
    </row>
    <row r="9" spans="1:15">
      <c r="A9" t="s">
        <v>1182</v>
      </c>
      <c r="B9">
        <v>948300</v>
      </c>
      <c r="D9" t="s">
        <v>1182</v>
      </c>
      <c r="E9">
        <v>43679.56</v>
      </c>
      <c r="G9" t="s">
        <v>1181</v>
      </c>
      <c r="H9" t="s">
        <v>64</v>
      </c>
      <c r="I9">
        <v>1</v>
      </c>
      <c r="K9">
        <v>112203</v>
      </c>
      <c r="L9">
        <v>-52010</v>
      </c>
      <c r="N9" t="s">
        <v>1184</v>
      </c>
      <c r="O9" t="s">
        <v>89</v>
      </c>
    </row>
    <row r="10" spans="1:15">
      <c r="A10" t="s">
        <v>1184</v>
      </c>
      <c r="B10">
        <v>205158.97</v>
      </c>
      <c r="D10" t="s">
        <v>1183</v>
      </c>
      <c r="E10">
        <v>-958</v>
      </c>
      <c r="G10" t="s">
        <v>1182</v>
      </c>
      <c r="H10" t="s">
        <v>78</v>
      </c>
      <c r="K10">
        <v>112204</v>
      </c>
      <c r="L10">
        <v>-4050</v>
      </c>
      <c r="N10" t="s">
        <v>1185</v>
      </c>
      <c r="O10" t="s">
        <v>91</v>
      </c>
    </row>
    <row r="11" spans="1:15">
      <c r="A11" t="s">
        <v>1185</v>
      </c>
      <c r="B11">
        <v>22026</v>
      </c>
      <c r="D11" t="s">
        <v>1184</v>
      </c>
      <c r="E11">
        <v>-121619.46</v>
      </c>
      <c r="G11" t="s">
        <v>1183</v>
      </c>
      <c r="H11" t="s">
        <v>87</v>
      </c>
      <c r="K11">
        <v>112205</v>
      </c>
      <c r="L11">
        <v>200</v>
      </c>
      <c r="N11" t="s">
        <v>1186</v>
      </c>
      <c r="O11" t="s">
        <v>99</v>
      </c>
    </row>
    <row r="12" spans="1:15">
      <c r="A12" t="s">
        <v>1186</v>
      </c>
      <c r="B12">
        <v>-5583.56</v>
      </c>
      <c r="D12" t="s">
        <v>1185</v>
      </c>
      <c r="E12">
        <v>2217.99</v>
      </c>
      <c r="G12" t="s">
        <v>1184</v>
      </c>
      <c r="H12" t="s">
        <v>89</v>
      </c>
      <c r="K12">
        <v>112206</v>
      </c>
      <c r="L12">
        <v>0</v>
      </c>
      <c r="N12" t="s">
        <v>1187</v>
      </c>
      <c r="O12" t="s">
        <v>100</v>
      </c>
    </row>
    <row r="13" spans="1:15">
      <c r="A13" t="s">
        <v>1187</v>
      </c>
      <c r="B13">
        <v>451.46</v>
      </c>
      <c r="D13" t="s">
        <v>1186</v>
      </c>
      <c r="E13">
        <v>-4884.01</v>
      </c>
      <c r="G13" t="s">
        <v>1185</v>
      </c>
      <c r="H13" t="s">
        <v>91</v>
      </c>
      <c r="K13">
        <v>112207</v>
      </c>
      <c r="L13">
        <v>0</v>
      </c>
      <c r="N13" t="s">
        <v>1188</v>
      </c>
      <c r="O13" t="s">
        <v>102</v>
      </c>
    </row>
    <row r="14" spans="1:15">
      <c r="A14" t="s">
        <v>1189</v>
      </c>
      <c r="B14">
        <v>-616000</v>
      </c>
      <c r="D14" t="s">
        <v>1187</v>
      </c>
      <c r="E14">
        <v>-451.46</v>
      </c>
      <c r="G14" t="s">
        <v>1186</v>
      </c>
      <c r="H14" t="s">
        <v>99</v>
      </c>
      <c r="K14">
        <v>112208</v>
      </c>
      <c r="L14">
        <v>48000</v>
      </c>
      <c r="N14" t="s">
        <v>1189</v>
      </c>
      <c r="O14" t="s">
        <v>107</v>
      </c>
    </row>
    <row r="15" spans="1:15">
      <c r="A15" t="s">
        <v>1190</v>
      </c>
      <c r="B15">
        <v>-70320.62</v>
      </c>
      <c r="D15" t="s">
        <v>1188</v>
      </c>
      <c r="E15">
        <v>0</v>
      </c>
      <c r="G15" t="s">
        <v>1187</v>
      </c>
      <c r="H15" t="s">
        <v>100</v>
      </c>
      <c r="K15">
        <v>112209</v>
      </c>
      <c r="L15">
        <v>8668</v>
      </c>
      <c r="N15" t="s">
        <v>1190</v>
      </c>
      <c r="O15" t="s">
        <v>113</v>
      </c>
    </row>
    <row r="16" spans="1:15">
      <c r="A16" t="s">
        <v>1191</v>
      </c>
      <c r="B16">
        <v>24374.1</v>
      </c>
      <c r="D16" t="s">
        <v>1189</v>
      </c>
      <c r="E16">
        <v>50000</v>
      </c>
      <c r="G16" t="s">
        <v>1188</v>
      </c>
      <c r="H16" t="s">
        <v>102</v>
      </c>
      <c r="K16">
        <v>112210</v>
      </c>
      <c r="L16">
        <v>34000</v>
      </c>
      <c r="N16" t="s">
        <v>1191</v>
      </c>
      <c r="O16" t="s">
        <v>126</v>
      </c>
    </row>
    <row r="17" spans="1:15">
      <c r="A17" t="s">
        <v>1192</v>
      </c>
      <c r="B17">
        <v>47778.36</v>
      </c>
      <c r="D17" t="s">
        <v>1190</v>
      </c>
      <c r="E17">
        <v>23435.8900000001</v>
      </c>
      <c r="G17" t="s">
        <v>1189</v>
      </c>
      <c r="H17" t="s">
        <v>107</v>
      </c>
      <c r="K17">
        <v>112211</v>
      </c>
      <c r="L17">
        <v>0</v>
      </c>
      <c r="N17" t="s">
        <v>1192</v>
      </c>
      <c r="O17" t="s">
        <v>140</v>
      </c>
    </row>
    <row r="18" spans="1:15">
      <c r="A18" t="s">
        <v>1193</v>
      </c>
      <c r="B18">
        <v>-1500000</v>
      </c>
      <c r="D18" t="s">
        <v>1191</v>
      </c>
      <c r="E18">
        <v>-23675.29</v>
      </c>
      <c r="G18" t="s">
        <v>1190</v>
      </c>
      <c r="H18" t="s">
        <v>113</v>
      </c>
      <c r="K18">
        <v>112212</v>
      </c>
      <c r="L18">
        <v>8000</v>
      </c>
      <c r="N18" t="s">
        <v>1193</v>
      </c>
      <c r="O18" t="s">
        <v>144</v>
      </c>
    </row>
    <row r="19" spans="1:15">
      <c r="A19" t="s">
        <v>1194</v>
      </c>
      <c r="B19">
        <v>323342.29</v>
      </c>
      <c r="D19" t="s">
        <v>1192</v>
      </c>
      <c r="E19">
        <v>-47768.5299999999</v>
      </c>
      <c r="G19" t="s">
        <v>1191</v>
      </c>
      <c r="H19" t="s">
        <v>126</v>
      </c>
      <c r="K19">
        <v>112213</v>
      </c>
      <c r="L19">
        <v>412800</v>
      </c>
      <c r="N19" t="s">
        <v>1195</v>
      </c>
      <c r="O19" t="s">
        <v>145</v>
      </c>
    </row>
    <row r="20" spans="1:15">
      <c r="A20" t="s">
        <v>1196</v>
      </c>
      <c r="B20">
        <v>151740</v>
      </c>
      <c r="D20" t="s">
        <v>1193</v>
      </c>
      <c r="E20">
        <v>0</v>
      </c>
      <c r="G20" t="s">
        <v>1192</v>
      </c>
      <c r="H20" t="s">
        <v>140</v>
      </c>
      <c r="K20">
        <v>112214</v>
      </c>
      <c r="L20">
        <v>23000</v>
      </c>
      <c r="N20" t="s">
        <v>1194</v>
      </c>
      <c r="O20" t="s">
        <v>147</v>
      </c>
    </row>
    <row r="21" spans="4:15">
      <c r="D21" t="s">
        <v>1196</v>
      </c>
      <c r="E21">
        <v>-87505.48</v>
      </c>
      <c r="G21" t="s">
        <v>1193</v>
      </c>
      <c r="H21" t="s">
        <v>144</v>
      </c>
      <c r="K21">
        <v>112301</v>
      </c>
      <c r="L21">
        <v>-80940</v>
      </c>
      <c r="N21" t="s">
        <v>1196</v>
      </c>
      <c r="O21" t="s">
        <v>149</v>
      </c>
    </row>
    <row r="22" spans="4:15">
      <c r="D22" t="s">
        <v>1197</v>
      </c>
      <c r="E22">
        <v>-1213780.27</v>
      </c>
      <c r="F22" t="s">
        <v>89</v>
      </c>
      <c r="G22" t="s">
        <v>1195</v>
      </c>
      <c r="H22" t="s">
        <v>145</v>
      </c>
      <c r="K22">
        <v>112302</v>
      </c>
      <c r="L22">
        <v>-8000</v>
      </c>
      <c r="N22" t="s">
        <v>1197</v>
      </c>
      <c r="O22" t="s">
        <v>157</v>
      </c>
    </row>
    <row r="23" spans="4:15">
      <c r="D23" t="s">
        <v>1198</v>
      </c>
      <c r="E23">
        <v>-1927.5</v>
      </c>
      <c r="G23" t="s">
        <v>1194</v>
      </c>
      <c r="H23" t="s">
        <v>147</v>
      </c>
      <c r="K23">
        <v>112303</v>
      </c>
      <c r="L23">
        <v>-24200</v>
      </c>
      <c r="N23" t="s">
        <v>1198</v>
      </c>
      <c r="O23" t="s">
        <v>179</v>
      </c>
    </row>
    <row r="24" spans="4:15">
      <c r="D24" t="s">
        <v>1199</v>
      </c>
      <c r="E24">
        <v>870743.95</v>
      </c>
      <c r="G24" t="s">
        <v>1196</v>
      </c>
      <c r="H24" t="s">
        <v>149</v>
      </c>
      <c r="K24">
        <v>112304</v>
      </c>
      <c r="L24">
        <v>-10000</v>
      </c>
      <c r="N24" t="s">
        <v>1199</v>
      </c>
      <c r="O24" t="s">
        <v>161</v>
      </c>
    </row>
    <row r="25" spans="4:15">
      <c r="D25" t="s">
        <v>1200</v>
      </c>
      <c r="E25">
        <v>22181.91</v>
      </c>
      <c r="G25" t="s">
        <v>1197</v>
      </c>
      <c r="H25" t="s">
        <v>157</v>
      </c>
      <c r="K25">
        <v>112310</v>
      </c>
      <c r="L25">
        <v>621500</v>
      </c>
      <c r="N25" t="s">
        <v>1200</v>
      </c>
      <c r="O25" t="s">
        <v>165</v>
      </c>
    </row>
    <row r="26" spans="4:15">
      <c r="D26" t="s">
        <v>1201</v>
      </c>
      <c r="E26">
        <v>309360.8</v>
      </c>
      <c r="G26" t="s">
        <v>1198</v>
      </c>
      <c r="H26" t="s">
        <v>179</v>
      </c>
      <c r="K26">
        <v>112311</v>
      </c>
      <c r="L26">
        <v>-295700</v>
      </c>
      <c r="N26" t="s">
        <v>1201</v>
      </c>
      <c r="O26" t="s">
        <v>166</v>
      </c>
    </row>
    <row r="27" spans="4:15">
      <c r="D27" t="s">
        <v>1202</v>
      </c>
      <c r="E27">
        <v>490.46</v>
      </c>
      <c r="G27" t="s">
        <v>1199</v>
      </c>
      <c r="H27" t="s">
        <v>161</v>
      </c>
      <c r="K27">
        <v>112312</v>
      </c>
      <c r="L27">
        <v>-102600</v>
      </c>
      <c r="N27" t="s">
        <v>1202</v>
      </c>
      <c r="O27" t="s">
        <v>177</v>
      </c>
    </row>
    <row r="28" spans="4:15">
      <c r="D28" t="s">
        <v>1203</v>
      </c>
      <c r="E28">
        <v>36.45</v>
      </c>
      <c r="G28" t="s">
        <v>1200</v>
      </c>
      <c r="H28" t="s">
        <v>165</v>
      </c>
      <c r="K28">
        <v>112313</v>
      </c>
      <c r="L28">
        <v>-5600</v>
      </c>
      <c r="N28" t="s">
        <v>1203</v>
      </c>
      <c r="O28" t="s">
        <v>181</v>
      </c>
    </row>
    <row r="29" spans="4:15">
      <c r="D29" t="s">
        <v>1204</v>
      </c>
      <c r="E29">
        <v>3048</v>
      </c>
      <c r="G29" t="s">
        <v>1201</v>
      </c>
      <c r="H29" t="s">
        <v>166</v>
      </c>
      <c r="K29">
        <v>112314</v>
      </c>
      <c r="L29">
        <v>0</v>
      </c>
      <c r="N29" s="42" t="s">
        <v>1204</v>
      </c>
      <c r="O29" s="42" t="s">
        <v>183</v>
      </c>
    </row>
    <row r="30" spans="7:12">
      <c r="G30" t="s">
        <v>1202</v>
      </c>
      <c r="H30" t="s">
        <v>177</v>
      </c>
      <c r="K30">
        <v>112315</v>
      </c>
      <c r="L30">
        <v>0</v>
      </c>
    </row>
    <row r="31" spans="7:12">
      <c r="G31" t="s">
        <v>1203</v>
      </c>
      <c r="H31" t="s">
        <v>181</v>
      </c>
      <c r="K31">
        <v>112316</v>
      </c>
      <c r="L31">
        <v>0</v>
      </c>
    </row>
    <row r="32" spans="7:12">
      <c r="G32" t="s">
        <v>1204</v>
      </c>
      <c r="H32" t="s">
        <v>183</v>
      </c>
      <c r="I32">
        <v>1</v>
      </c>
      <c r="K32">
        <v>112317</v>
      </c>
      <c r="L32">
        <v>0</v>
      </c>
    </row>
    <row r="33" spans="11:12">
      <c r="K33">
        <v>112318</v>
      </c>
      <c r="L33">
        <v>50</v>
      </c>
    </row>
    <row r="34" spans="11:12">
      <c r="K34">
        <v>122101</v>
      </c>
      <c r="L34">
        <v>-300000</v>
      </c>
    </row>
    <row r="35" spans="11:12">
      <c r="K35">
        <v>122103</v>
      </c>
      <c r="L35">
        <v>-300000</v>
      </c>
    </row>
    <row r="36" spans="11:12">
      <c r="K36">
        <v>122104</v>
      </c>
      <c r="L36">
        <v>9900</v>
      </c>
    </row>
    <row r="37" spans="11:12">
      <c r="K37">
        <v>122105</v>
      </c>
      <c r="L37">
        <v>-2200</v>
      </c>
    </row>
    <row r="38" spans="11:12">
      <c r="K38">
        <v>122106</v>
      </c>
      <c r="L38">
        <v>60</v>
      </c>
    </row>
    <row r="39" spans="11:12">
      <c r="K39">
        <v>122107</v>
      </c>
      <c r="L39">
        <v>10000</v>
      </c>
    </row>
    <row r="40" spans="11:12">
      <c r="K40">
        <v>122108</v>
      </c>
      <c r="L40">
        <v>100</v>
      </c>
    </row>
    <row r="41" spans="11:12">
      <c r="K41">
        <v>122109</v>
      </c>
      <c r="L41">
        <v>625819.56</v>
      </c>
    </row>
    <row r="42" spans="11:12">
      <c r="K42">
        <v>140201</v>
      </c>
      <c r="L42">
        <v>92</v>
      </c>
    </row>
    <row r="43" spans="11:12">
      <c r="K43">
        <v>140202</v>
      </c>
      <c r="L43">
        <v>-1050</v>
      </c>
    </row>
    <row r="44" spans="11:12">
      <c r="K44">
        <v>140501</v>
      </c>
      <c r="L44">
        <v>-121619.46</v>
      </c>
    </row>
    <row r="45" spans="11:12">
      <c r="K45">
        <v>160101</v>
      </c>
      <c r="L45">
        <v>-88.89</v>
      </c>
    </row>
    <row r="46" spans="11:12">
      <c r="K46">
        <v>160102</v>
      </c>
      <c r="L46">
        <v>-122.22</v>
      </c>
    </row>
    <row r="47" spans="11:12">
      <c r="K47">
        <v>160103</v>
      </c>
      <c r="L47">
        <v>-106.92</v>
      </c>
    </row>
    <row r="48" spans="11:12">
      <c r="K48">
        <v>160104</v>
      </c>
      <c r="L48">
        <v>-58.27</v>
      </c>
    </row>
    <row r="49" spans="11:12">
      <c r="K49">
        <v>160105</v>
      </c>
      <c r="L49">
        <v>-69.39</v>
      </c>
    </row>
    <row r="50" spans="11:12">
      <c r="K50">
        <v>160106</v>
      </c>
      <c r="L50">
        <v>-73.32</v>
      </c>
    </row>
    <row r="51" spans="11:12">
      <c r="K51">
        <v>160107</v>
      </c>
      <c r="L51">
        <v>2737</v>
      </c>
    </row>
    <row r="52" spans="11:12">
      <c r="K52">
        <v>160201</v>
      </c>
      <c r="L52">
        <v>-800.89</v>
      </c>
    </row>
    <row r="53" spans="11:12">
      <c r="K53">
        <v>160202</v>
      </c>
      <c r="L53">
        <v>-1098.22</v>
      </c>
    </row>
    <row r="54" spans="11:12">
      <c r="K54">
        <v>160203</v>
      </c>
      <c r="L54">
        <v>-962.92</v>
      </c>
    </row>
    <row r="55" spans="11:12">
      <c r="K55">
        <v>160204</v>
      </c>
      <c r="L55">
        <v>-522.27</v>
      </c>
    </row>
    <row r="56" spans="11:12">
      <c r="K56">
        <v>160205</v>
      </c>
      <c r="L56">
        <v>-612.39</v>
      </c>
    </row>
    <row r="57" spans="11:12">
      <c r="K57">
        <v>160206</v>
      </c>
      <c r="L57">
        <v>-657.32</v>
      </c>
    </row>
    <row r="58" spans="11:12">
      <c r="K58">
        <v>160207</v>
      </c>
      <c r="L58">
        <v>-230</v>
      </c>
    </row>
    <row r="59" spans="11:12">
      <c r="K59">
        <v>177701</v>
      </c>
      <c r="L59">
        <v>-451.46</v>
      </c>
    </row>
    <row r="60" spans="11:12">
      <c r="K60">
        <v>220201</v>
      </c>
      <c r="L60">
        <v>0</v>
      </c>
    </row>
    <row r="61" spans="11:12">
      <c r="K61">
        <v>220202</v>
      </c>
      <c r="L61">
        <v>0</v>
      </c>
    </row>
    <row r="62" spans="11:12">
      <c r="K62">
        <v>220203</v>
      </c>
      <c r="L62">
        <v>0</v>
      </c>
    </row>
    <row r="63" spans="11:12">
      <c r="K63">
        <v>220204</v>
      </c>
      <c r="L63">
        <v>0</v>
      </c>
    </row>
    <row r="64" spans="11:12">
      <c r="K64">
        <v>220205</v>
      </c>
      <c r="L64">
        <v>0</v>
      </c>
    </row>
    <row r="65" spans="11:12">
      <c r="K65">
        <v>220301</v>
      </c>
      <c r="L65">
        <v>104400</v>
      </c>
    </row>
    <row r="66" spans="11:12">
      <c r="K66">
        <v>220302</v>
      </c>
      <c r="L66">
        <v>-29400</v>
      </c>
    </row>
    <row r="67" spans="11:12">
      <c r="K67">
        <v>220303</v>
      </c>
      <c r="L67">
        <v>95000</v>
      </c>
    </row>
    <row r="68" spans="11:12">
      <c r="K68">
        <v>220305</v>
      </c>
      <c r="L68">
        <v>-10000</v>
      </c>
    </row>
    <row r="69" spans="11:12">
      <c r="K69">
        <v>220307</v>
      </c>
      <c r="L69">
        <v>-110000</v>
      </c>
    </row>
    <row r="70" spans="11:12">
      <c r="K70">
        <v>221101</v>
      </c>
      <c r="L70">
        <v>-9820</v>
      </c>
    </row>
    <row r="71" spans="11:12">
      <c r="K71">
        <v>221102</v>
      </c>
      <c r="L71">
        <v>370</v>
      </c>
    </row>
    <row r="72" spans="11:12">
      <c r="K72">
        <v>221103</v>
      </c>
      <c r="L72">
        <v>59787.45</v>
      </c>
    </row>
    <row r="73" spans="11:12">
      <c r="K73">
        <v>221104</v>
      </c>
      <c r="L73">
        <v>2698.44</v>
      </c>
    </row>
    <row r="74" spans="11:12">
      <c r="K74">
        <v>221105</v>
      </c>
      <c r="L74">
        <v>9150</v>
      </c>
    </row>
    <row r="75" spans="11:12">
      <c r="K75">
        <v>221106</v>
      </c>
      <c r="L75">
        <v>0</v>
      </c>
    </row>
    <row r="76" spans="11:12">
      <c r="K76">
        <v>221107</v>
      </c>
      <c r="L76">
        <v>-12000</v>
      </c>
    </row>
    <row r="77" spans="11:12">
      <c r="K77">
        <v>221108</v>
      </c>
      <c r="L77">
        <v>-10000</v>
      </c>
    </row>
    <row r="78" spans="11:12">
      <c r="K78">
        <v>221109</v>
      </c>
      <c r="L78">
        <v>-19350</v>
      </c>
    </row>
    <row r="79" spans="11:12">
      <c r="K79">
        <v>221110</v>
      </c>
      <c r="L79">
        <v>-2400</v>
      </c>
    </row>
    <row r="80" spans="11:12">
      <c r="K80">
        <v>221111</v>
      </c>
      <c r="L80">
        <v>0</v>
      </c>
    </row>
    <row r="81" spans="11:12">
      <c r="K81">
        <v>221112</v>
      </c>
      <c r="L81">
        <v>5000</v>
      </c>
    </row>
    <row r="82" spans="11:12">
      <c r="K82">
        <v>222101</v>
      </c>
      <c r="L82">
        <v>7263.47</v>
      </c>
    </row>
    <row r="83" spans="11:12">
      <c r="K83">
        <v>222102</v>
      </c>
      <c r="L83">
        <v>370</v>
      </c>
    </row>
    <row r="84" spans="11:12">
      <c r="K84">
        <v>222103</v>
      </c>
      <c r="L84">
        <v>629.72</v>
      </c>
    </row>
    <row r="85" spans="11:12">
      <c r="K85">
        <v>222104</v>
      </c>
      <c r="L85">
        <v>320.69</v>
      </c>
    </row>
    <row r="86" spans="11:12">
      <c r="K86">
        <v>222105</v>
      </c>
      <c r="L86">
        <v>176.11</v>
      </c>
    </row>
    <row r="87" spans="11:12">
      <c r="K87">
        <v>222106</v>
      </c>
      <c r="L87">
        <v>0</v>
      </c>
    </row>
    <row r="88" spans="11:12">
      <c r="K88">
        <v>222121</v>
      </c>
      <c r="L88">
        <v>74827.39</v>
      </c>
    </row>
    <row r="89" spans="11:12">
      <c r="K89">
        <v>222123</v>
      </c>
      <c r="L89">
        <v>6303.06</v>
      </c>
    </row>
    <row r="90" spans="11:12">
      <c r="K90">
        <v>222125</v>
      </c>
      <c r="L90">
        <v>-113935.73</v>
      </c>
    </row>
    <row r="91" spans="11:12">
      <c r="K91">
        <v>222128</v>
      </c>
      <c r="L91">
        <v>370</v>
      </c>
    </row>
    <row r="92" spans="11:12">
      <c r="K92">
        <v>224101</v>
      </c>
      <c r="L92">
        <v>-56792.9</v>
      </c>
    </row>
    <row r="93" spans="11:12">
      <c r="K93">
        <v>224102</v>
      </c>
      <c r="L93">
        <v>7119.75</v>
      </c>
    </row>
    <row r="94" spans="11:12">
      <c r="K94">
        <v>224103</v>
      </c>
      <c r="L94">
        <v>1755.45</v>
      </c>
    </row>
    <row r="95" spans="11:12">
      <c r="K95">
        <v>224104</v>
      </c>
      <c r="L95">
        <v>149.17</v>
      </c>
    </row>
    <row r="96" spans="11:12">
      <c r="K96">
        <v>224105</v>
      </c>
      <c r="L96">
        <v>0</v>
      </c>
    </row>
    <row r="97" spans="11:12">
      <c r="K97">
        <v>300101</v>
      </c>
      <c r="L97">
        <v>-600000</v>
      </c>
    </row>
    <row r="98" spans="11:12">
      <c r="K98">
        <v>300103</v>
      </c>
      <c r="L98">
        <v>300000</v>
      </c>
    </row>
    <row r="99" spans="11:12">
      <c r="K99">
        <v>300104</v>
      </c>
      <c r="L99">
        <v>300000</v>
      </c>
    </row>
    <row r="100" spans="11:12">
      <c r="K100">
        <v>440101</v>
      </c>
      <c r="L100">
        <v>-151740</v>
      </c>
    </row>
    <row r="101" spans="11:12">
      <c r="K101">
        <v>440102</v>
      </c>
      <c r="L101">
        <v>0</v>
      </c>
    </row>
    <row r="102" spans="11:12">
      <c r="K102">
        <v>440103</v>
      </c>
      <c r="L102">
        <v>30000</v>
      </c>
    </row>
    <row r="103" spans="11:12">
      <c r="K103">
        <v>440104</v>
      </c>
      <c r="L103">
        <v>14000</v>
      </c>
    </row>
    <row r="104" spans="11:12">
      <c r="K104">
        <v>440105</v>
      </c>
      <c r="L104">
        <v>0</v>
      </c>
    </row>
    <row r="105" spans="11:12">
      <c r="K105">
        <v>440106</v>
      </c>
      <c r="L105">
        <v>15234.52</v>
      </c>
    </row>
    <row r="106" spans="11:12">
      <c r="K106">
        <v>440107</v>
      </c>
      <c r="L106">
        <v>0</v>
      </c>
    </row>
    <row r="107" spans="11:12">
      <c r="K107">
        <v>440108</v>
      </c>
      <c r="L107">
        <v>0</v>
      </c>
    </row>
    <row r="108" spans="11:12">
      <c r="K108">
        <v>440109</v>
      </c>
      <c r="L108">
        <v>5000</v>
      </c>
    </row>
    <row r="109" spans="11:12">
      <c r="K109">
        <v>500101</v>
      </c>
      <c r="L109">
        <v>-670210.27</v>
      </c>
    </row>
    <row r="110" spans="11:12">
      <c r="K110">
        <v>500102</v>
      </c>
      <c r="L110">
        <v>-162570</v>
      </c>
    </row>
    <row r="111" spans="11:12">
      <c r="K111">
        <v>500103</v>
      </c>
      <c r="L111">
        <v>-381000</v>
      </c>
    </row>
    <row r="112" spans="11:12">
      <c r="K112">
        <v>530101</v>
      </c>
      <c r="L112">
        <v>-1927.5</v>
      </c>
    </row>
    <row r="113" spans="11:12">
      <c r="K113">
        <v>540101</v>
      </c>
      <c r="L113">
        <v>583568.71</v>
      </c>
    </row>
    <row r="114" spans="11:12">
      <c r="K114">
        <v>540102</v>
      </c>
      <c r="L114">
        <v>31540.84</v>
      </c>
    </row>
    <row r="115" spans="11:12">
      <c r="K115">
        <v>540103</v>
      </c>
      <c r="L115">
        <v>255634.4</v>
      </c>
    </row>
    <row r="116" spans="11:12">
      <c r="K116">
        <v>540301</v>
      </c>
      <c r="L116">
        <v>1762.02</v>
      </c>
    </row>
    <row r="117" spans="11:12">
      <c r="K117">
        <v>540302</v>
      </c>
      <c r="L117">
        <v>1258.59</v>
      </c>
    </row>
    <row r="118" spans="11:12">
      <c r="K118">
        <v>540303</v>
      </c>
      <c r="L118">
        <v>292.8</v>
      </c>
    </row>
    <row r="119" spans="11:12">
      <c r="K119">
        <v>540304</v>
      </c>
      <c r="L119">
        <v>18868.5</v>
      </c>
    </row>
    <row r="120" spans="11:12">
      <c r="K120">
        <v>560201</v>
      </c>
      <c r="L120">
        <v>163168.2</v>
      </c>
    </row>
    <row r="121" spans="11:12">
      <c r="K121">
        <v>560202</v>
      </c>
      <c r="L121">
        <v>5403.02</v>
      </c>
    </row>
    <row r="122" spans="11:12">
      <c r="K122">
        <v>560203</v>
      </c>
      <c r="L122">
        <v>14917.09</v>
      </c>
    </row>
    <row r="123" spans="11:12">
      <c r="K123">
        <v>560204</v>
      </c>
      <c r="L123">
        <v>5572</v>
      </c>
    </row>
    <row r="124" spans="11:12">
      <c r="K124">
        <v>560205</v>
      </c>
      <c r="L124">
        <v>22213.74</v>
      </c>
    </row>
    <row r="125" spans="11:12">
      <c r="K125">
        <v>560206</v>
      </c>
      <c r="L125">
        <v>120145.8</v>
      </c>
    </row>
    <row r="126" spans="11:12">
      <c r="K126">
        <v>560207</v>
      </c>
      <c r="L126">
        <v>4642</v>
      </c>
    </row>
    <row r="127" spans="11:12">
      <c r="K127">
        <v>560208</v>
      </c>
      <c r="L127">
        <v>1523.9</v>
      </c>
    </row>
    <row r="128" spans="11:12">
      <c r="K128">
        <v>560209</v>
      </c>
      <c r="L128">
        <v>-42388.03</v>
      </c>
    </row>
    <row r="129" spans="11:12">
      <c r="K129">
        <v>560210</v>
      </c>
      <c r="L129">
        <v>14163.08</v>
      </c>
    </row>
    <row r="130" spans="11:12">
      <c r="K130">
        <v>560301</v>
      </c>
      <c r="L130">
        <v>490.46</v>
      </c>
    </row>
    <row r="131" spans="11:12">
      <c r="K131">
        <v>571101</v>
      </c>
      <c r="L131">
        <v>36.45</v>
      </c>
    </row>
    <row r="132" spans="11:12">
      <c r="K132">
        <v>580101</v>
      </c>
      <c r="L132">
        <v>3048</v>
      </c>
    </row>
  </sheetData>
  <mergeCells count="5">
    <mergeCell ref="A1:B1"/>
    <mergeCell ref="D1:F1"/>
    <mergeCell ref="K1:L1"/>
    <mergeCell ref="A2:B2"/>
    <mergeCell ref="K2:L2"/>
  </mergeCells>
  <pageMargins left="0.699305555555556" right="0.699305555555556" top="0.75" bottom="0.75" header="0.3" footer="0.3"/>
  <pageSetup paperSize="9" orientation="portrait" horizontalDpi="180" verticalDpi="180"/>
  <headerFooter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tabColor rgb="FF66FF99"/>
  </sheetPr>
  <dimension ref="B1:G20"/>
  <sheetViews>
    <sheetView workbookViewId="0">
      <selection activeCell="D8" sqref="D8"/>
    </sheetView>
  </sheetViews>
  <sheetFormatPr defaultColWidth="9" defaultRowHeight="15" outlineLevelCol="6"/>
  <cols>
    <col min="1" max="1" width="6.37142857142857" customWidth="1"/>
    <col min="2" max="2" width="7.62857142857143" customWidth="1"/>
    <col min="3" max="3" width="12.6285714285714" customWidth="1"/>
    <col min="4" max="4" width="11.5047619047619" customWidth="1"/>
    <col min="5" max="5" width="13.247619047619" customWidth="1"/>
    <col min="7" max="7" width="12.752380952381" customWidth="1"/>
  </cols>
  <sheetData>
    <row r="1" ht="21.75" customHeight="1" spans="2:7">
      <c r="B1" s="87" t="str">
        <f>单位信息!B6&amp;" 14年"&amp;B3&amp;"月应交增值税及地税"</f>
        <v>华军公司 14年9月应交增值税及地税</v>
      </c>
      <c r="C1" s="88"/>
      <c r="D1" s="88"/>
      <c r="E1" s="88"/>
      <c r="F1" s="88"/>
      <c r="G1" s="88"/>
    </row>
    <row r="2" ht="21.75" customHeight="1" spans="2:7">
      <c r="B2" s="89" t="s">
        <v>1205</v>
      </c>
      <c r="C2" s="89" t="s">
        <v>1206</v>
      </c>
      <c r="D2" s="89" t="s">
        <v>1207</v>
      </c>
      <c r="E2" s="89" t="s">
        <v>1208</v>
      </c>
      <c r="F2" s="89" t="s">
        <v>1209</v>
      </c>
      <c r="G2" s="90" t="s">
        <v>1210</v>
      </c>
    </row>
    <row r="3" ht="21.75" customHeight="1" spans="2:7">
      <c r="B3" s="91">
        <v>9</v>
      </c>
      <c r="C3" s="92">
        <f t="array" ref="C3">SUM((IF(LEFT(PP[科目代码],4)*1=5001,1,)*IF(PP[月]=B3,1,)*PP[贷金额]))</f>
        <v>424338.89</v>
      </c>
      <c r="D3" s="92">
        <f>SUMIFS(PP[贷金额],PP[月],B3,PP[科目代码],222125)</f>
        <v>51899.11</v>
      </c>
      <c r="E3" s="93">
        <f>SUM(C3:D3)</f>
        <v>476238</v>
      </c>
      <c r="F3" s="94" t="s">
        <v>1211</v>
      </c>
      <c r="G3" s="95">
        <f>C6</f>
        <v>424338.89</v>
      </c>
    </row>
    <row r="4" ht="21.75" customHeight="1" spans="2:7">
      <c r="B4" s="89"/>
      <c r="C4" s="92"/>
      <c r="D4" s="92"/>
      <c r="E4" s="93">
        <f>SUM(C4:D4)</f>
        <v>0</v>
      </c>
      <c r="F4" s="94"/>
      <c r="G4" s="96"/>
    </row>
    <row r="5" ht="21.75" customHeight="1" spans="2:7">
      <c r="B5" s="97"/>
      <c r="C5" s="92"/>
      <c r="D5" s="92"/>
      <c r="E5" s="97">
        <f>SUM(C5:D5)</f>
        <v>0</v>
      </c>
      <c r="F5" s="94" t="s">
        <v>1154</v>
      </c>
      <c r="G5" s="98">
        <f>+G3*0.17</f>
        <v>72137.6113</v>
      </c>
    </row>
    <row r="6" ht="21.75" customHeight="1" spans="2:7">
      <c r="B6" s="89" t="s">
        <v>1211</v>
      </c>
      <c r="C6" s="99">
        <f>SUM(C3:C5)</f>
        <v>424338.89</v>
      </c>
      <c r="D6" s="100">
        <f>SUM(D3:D5)</f>
        <v>51899.11</v>
      </c>
      <c r="E6" s="96">
        <f>SUM(E3:E5)</f>
        <v>476238</v>
      </c>
      <c r="F6" s="94" t="s">
        <v>1154</v>
      </c>
      <c r="G6" s="96">
        <f>G5</f>
        <v>72137.6113</v>
      </c>
    </row>
    <row r="7" ht="21.75" customHeight="1" spans="2:7">
      <c r="B7" s="101"/>
      <c r="C7" s="92">
        <f t="array" ref="C7">SUM((IF(LEFT(PP[科目代码],4)*1=1405,1,)*IF(PP[月]=B3,1,)*PP[借金额]))</f>
        <v>77698.77</v>
      </c>
      <c r="D7" s="92">
        <f>SUMIFS(PP[借金额],PP[月],B3,PP[科目代码],222121)</f>
        <v>13185.83</v>
      </c>
      <c r="E7" s="96">
        <f t="shared" ref="E7:E10" si="0">SUM(C7:D7)</f>
        <v>90884.6</v>
      </c>
      <c r="F7" s="94" t="s">
        <v>1212</v>
      </c>
      <c r="G7" s="102">
        <f>+C10</f>
        <v>77698.77</v>
      </c>
    </row>
    <row r="8" ht="21.75" customHeight="1" spans="2:7">
      <c r="B8" s="101"/>
      <c r="C8" s="92"/>
      <c r="D8" s="92"/>
      <c r="E8" s="96">
        <f t="shared" si="0"/>
        <v>0</v>
      </c>
      <c r="F8" s="94" t="s">
        <v>1150</v>
      </c>
      <c r="G8" s="96">
        <f>+D10</f>
        <v>13185.83</v>
      </c>
    </row>
    <row r="9" ht="21.75" customHeight="1" spans="2:7">
      <c r="B9" s="101"/>
      <c r="C9" s="92"/>
      <c r="D9" s="92"/>
      <c r="E9" s="103">
        <f t="shared" si="0"/>
        <v>0</v>
      </c>
      <c r="F9" s="89"/>
      <c r="G9" s="104"/>
    </row>
    <row r="10" ht="21.75" customHeight="1" spans="2:7">
      <c r="B10" s="105" t="s">
        <v>1212</v>
      </c>
      <c r="C10" s="106">
        <f>SUM(C7:C9)</f>
        <v>77698.77</v>
      </c>
      <c r="D10" s="92">
        <f>SUM(D7:D9)</f>
        <v>13185.83</v>
      </c>
      <c r="E10" s="96">
        <f t="shared" si="0"/>
        <v>90884.6</v>
      </c>
      <c r="F10" s="89" t="s">
        <v>1150</v>
      </c>
      <c r="G10" s="96">
        <f>+D10</f>
        <v>13185.83</v>
      </c>
    </row>
    <row r="11" ht="21.75" customHeight="1" spans="2:7">
      <c r="B11" s="97"/>
      <c r="C11" s="97"/>
      <c r="D11" s="97"/>
      <c r="E11" s="97"/>
      <c r="F11" s="89" t="s">
        <v>1213</v>
      </c>
      <c r="G11" s="96"/>
    </row>
    <row r="12" ht="21.75" customHeight="1" spans="2:7">
      <c r="B12" s="107" t="s">
        <v>1214</v>
      </c>
      <c r="C12" s="107"/>
      <c r="D12" s="107"/>
      <c r="E12" s="107"/>
      <c r="F12" s="107"/>
      <c r="G12" s="96">
        <f>+G6-G10-G11</f>
        <v>58951.7813</v>
      </c>
    </row>
    <row r="13" ht="21.75" customHeight="1" spans="2:7">
      <c r="B13" s="107"/>
      <c r="C13" s="107"/>
      <c r="D13" s="107"/>
      <c r="E13" s="108" t="str">
        <f>IF(G6-G10-G11&lt;0,"期末留抵税额"&amp;"¥"&amp;ROUND((G6-G10-G11)*(-1),2),"本月应纳增值税"&amp;"¥"&amp;ROUND((G6-G10-G11),2))</f>
        <v>本月应纳增值税¥58951.78</v>
      </c>
      <c r="F13" s="108"/>
      <c r="G13" s="108"/>
    </row>
    <row r="14" ht="21.75" customHeight="1" spans="2:7">
      <c r="B14" s="97"/>
      <c r="C14" s="109" t="str">
        <f>B1</f>
        <v>华军公司 14年9月应交增值税及地税</v>
      </c>
      <c r="D14" s="109"/>
      <c r="E14" s="109"/>
      <c r="F14" s="109"/>
      <c r="G14" s="109"/>
    </row>
    <row r="15" ht="21.75" customHeight="1" spans="2:7">
      <c r="B15" s="97"/>
      <c r="C15" s="89"/>
      <c r="D15" s="89"/>
      <c r="E15" s="89" t="s">
        <v>1215</v>
      </c>
      <c r="F15" s="89" t="s">
        <v>1216</v>
      </c>
      <c r="G15" s="89" t="s">
        <v>1217</v>
      </c>
    </row>
    <row r="16" ht="21.75" customHeight="1" spans="2:7">
      <c r="B16" s="97"/>
      <c r="C16" s="89"/>
      <c r="D16" s="89"/>
      <c r="E16" s="110">
        <f>ROUND(IF(G12&gt;0,G12,0),2)</f>
        <v>58951.78</v>
      </c>
      <c r="F16" s="107" t="s">
        <v>1218</v>
      </c>
      <c r="G16" s="96">
        <f>ROUND(E16*0.07,2)</f>
        <v>4126.62</v>
      </c>
    </row>
    <row r="17" ht="21.75" customHeight="1" spans="2:7">
      <c r="B17" s="97"/>
      <c r="C17" s="89"/>
      <c r="D17" s="89"/>
      <c r="E17" s="110">
        <f>ROUND(IF(G12&gt;0,G12,0),2)</f>
        <v>58951.78</v>
      </c>
      <c r="F17" s="89" t="s">
        <v>1219</v>
      </c>
      <c r="G17" s="96">
        <f>ROUND(E16*0.05,2)</f>
        <v>2947.59</v>
      </c>
    </row>
    <row r="18" ht="21.75" customHeight="1" spans="2:7">
      <c r="B18" s="97"/>
      <c r="C18" s="89"/>
      <c r="D18" s="89"/>
      <c r="E18" s="111">
        <f>+C6</f>
        <v>424338.89</v>
      </c>
      <c r="F18" s="89" t="s">
        <v>1220</v>
      </c>
      <c r="G18" s="112">
        <f>ROUND(E18*0.0003,1)</f>
        <v>127.3</v>
      </c>
    </row>
    <row r="19" ht="21.75" customHeight="1" spans="2:7">
      <c r="B19" s="97"/>
      <c r="C19" s="89"/>
      <c r="D19" s="89"/>
      <c r="E19" s="111">
        <f>+E18</f>
        <v>424338.89</v>
      </c>
      <c r="F19" s="89" t="s">
        <v>142</v>
      </c>
      <c r="G19" s="96">
        <f>ROUND(E19*0.0005,2)</f>
        <v>212.17</v>
      </c>
    </row>
    <row r="20" spans="7:7">
      <c r="G20" s="113">
        <f>SUM(G16:G19)</f>
        <v>7413.68</v>
      </c>
    </row>
  </sheetData>
  <mergeCells count="9">
    <mergeCell ref="B1:G1"/>
    <mergeCell ref="B12:F12"/>
    <mergeCell ref="E13:G13"/>
    <mergeCell ref="C14:G14"/>
    <mergeCell ref="C15:D15"/>
    <mergeCell ref="C16:D16"/>
    <mergeCell ref="C17:D17"/>
    <mergeCell ref="C18:D18"/>
    <mergeCell ref="C19:D19"/>
  </mergeCells>
  <dataValidations count="2">
    <dataValidation type="list" allowBlank="1" showInputMessage="1" showErrorMessage="1" sqref="B9">
      <formula1>$B$9:$B$26</formula1>
    </dataValidation>
    <dataValidation type="list" allowBlank="1" showInputMessage="1" showErrorMessage="1" sqref="B7:B8">
      <formula1>$B$7:$B$15</formula1>
    </dataValidation>
  </dataValidations>
  <pageMargins left="0.699305555555556" right="0.699305555555556" top="0.75" bottom="0.75" header="0.3" footer="0.3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>
    <tabColor rgb="FFFF33CC"/>
  </sheetPr>
  <dimension ref="A1:R39"/>
  <sheetViews>
    <sheetView showGridLines="0" workbookViewId="0">
      <selection activeCell="Q35" sqref="Q35"/>
    </sheetView>
  </sheetViews>
  <sheetFormatPr defaultColWidth="9" defaultRowHeight="15"/>
  <cols>
    <col min="1" max="1" width="1.24761904761905" customWidth="1"/>
    <col min="2" max="2" width="4.24761904761905" style="41" customWidth="1"/>
    <col min="3" max="3" width="6.37142857142857" style="41" customWidth="1"/>
    <col min="4" max="4" width="6.5047619047619" style="41" customWidth="1"/>
    <col min="5" max="5" width="20" customWidth="1"/>
    <col min="6" max="6" width="7.62857142857143" hidden="1" customWidth="1"/>
    <col min="7" max="7" width="1.75238095238095" hidden="1" customWidth="1"/>
    <col min="8" max="8" width="11.752380952381" customWidth="1"/>
    <col min="9" max="9" width="3.62857142857143" customWidth="1"/>
    <col min="10" max="10" width="12.5047619047619" customWidth="1"/>
    <col min="11" max="11" width="3.24761904761905" customWidth="1"/>
    <col min="12" max="12" width="5.37142857142857" style="41" customWidth="1"/>
    <col min="13" max="13" width="9" hidden="1" customWidth="1"/>
    <col min="14" max="14" width="8.62857142857143" hidden="1" customWidth="1"/>
    <col min="15" max="15" width="17.3714285714286" customWidth="1"/>
  </cols>
  <sheetData>
    <row r="1" ht="20.25" spans="1:15">
      <c r="A1" s="42"/>
      <c r="B1" s="43"/>
      <c r="C1" s="44" t="s">
        <v>1221</v>
      </c>
      <c r="D1" s="44"/>
      <c r="E1" s="45" t="str">
        <f>单位信息!B6&amp;"---明细账"</f>
        <v>华军公司---明细账</v>
      </c>
      <c r="F1" s="45"/>
      <c r="G1" s="45"/>
      <c r="H1" s="45"/>
      <c r="I1" s="45"/>
      <c r="J1" s="45"/>
      <c r="K1" s="45"/>
      <c r="L1" s="45"/>
      <c r="M1" s="45"/>
      <c r="N1" s="45"/>
      <c r="O1" s="71"/>
    </row>
    <row r="2" ht="18" customHeight="1" spans="1:15">
      <c r="A2" s="42"/>
      <c r="B2" s="46" t="s">
        <v>1138</v>
      </c>
      <c r="C2" s="46">
        <f>明细账!C3</f>
        <v>140501</v>
      </c>
      <c r="D2" s="46"/>
      <c r="E2" s="47" t="str">
        <f>明细账!E3</f>
        <v>库存商品----仓库</v>
      </c>
      <c r="F2" s="47"/>
      <c r="G2" s="47"/>
      <c r="H2" s="47"/>
      <c r="I2" s="47"/>
      <c r="J2" s="47"/>
      <c r="K2" s="47"/>
      <c r="L2" s="46"/>
      <c r="M2" s="47"/>
      <c r="N2" s="47"/>
      <c r="O2" s="47"/>
    </row>
    <row r="3" ht="18" customHeight="1" spans="1:15">
      <c r="A3" s="48"/>
      <c r="B3" s="49">
        <f>单位信息!B2</f>
        <v>2014</v>
      </c>
      <c r="C3" s="50"/>
      <c r="D3" s="51" t="s">
        <v>1139</v>
      </c>
      <c r="E3" s="52" t="s">
        <v>1140</v>
      </c>
      <c r="F3" s="52" t="s">
        <v>41</v>
      </c>
      <c r="G3" s="52" t="s">
        <v>42</v>
      </c>
      <c r="H3" s="52" t="s">
        <v>207</v>
      </c>
      <c r="I3" s="72" t="s">
        <v>1141</v>
      </c>
      <c r="J3" s="52" t="s">
        <v>208</v>
      </c>
      <c r="K3" s="72" t="s">
        <v>1141</v>
      </c>
      <c r="L3" s="51" t="s">
        <v>1123</v>
      </c>
      <c r="M3" s="73" t="s">
        <v>1142</v>
      </c>
      <c r="N3" s="74" t="s">
        <v>42</v>
      </c>
      <c r="O3" s="75" t="s">
        <v>1143</v>
      </c>
    </row>
    <row r="4" ht="18" customHeight="1" spans="1:15">
      <c r="A4" s="48"/>
      <c r="B4" s="53" t="s">
        <v>186</v>
      </c>
      <c r="C4" s="54" t="s">
        <v>187</v>
      </c>
      <c r="D4" s="55"/>
      <c r="E4" s="56"/>
      <c r="F4" s="56"/>
      <c r="G4" s="56"/>
      <c r="H4" s="56"/>
      <c r="I4" s="54"/>
      <c r="J4" s="56"/>
      <c r="K4" s="54"/>
      <c r="L4" s="55"/>
      <c r="M4" s="76"/>
      <c r="N4" s="77"/>
      <c r="O4" s="78"/>
    </row>
    <row r="5" ht="14.25" customHeight="1" spans="1:15">
      <c r="A5" s="48"/>
      <c r="B5" s="57">
        <v>1</v>
      </c>
      <c r="C5" s="58">
        <v>1</v>
      </c>
      <c r="D5" s="58"/>
      <c r="E5" s="59" t="s">
        <v>1222</v>
      </c>
      <c r="F5" s="60"/>
      <c r="G5" s="60"/>
      <c r="H5" s="61"/>
      <c r="I5" s="79"/>
      <c r="J5" s="61"/>
      <c r="K5" s="79"/>
      <c r="L5" s="80" t="s">
        <v>1223</v>
      </c>
      <c r="M5" s="81">
        <v>0</v>
      </c>
      <c r="N5" s="81">
        <v>0</v>
      </c>
      <c r="O5" s="82">
        <v>0</v>
      </c>
    </row>
    <row r="6" ht="14.25" customHeight="1" spans="1:15">
      <c r="A6" s="48">
        <v>7</v>
      </c>
      <c r="B6" s="62">
        <v>11</v>
      </c>
      <c r="C6" s="4">
        <v>11</v>
      </c>
      <c r="D6" s="4">
        <v>18</v>
      </c>
      <c r="E6" s="6" t="s">
        <v>972</v>
      </c>
      <c r="F6" s="6"/>
      <c r="G6" s="6"/>
      <c r="H6" s="63">
        <v>8000</v>
      </c>
      <c r="I6" s="6"/>
      <c r="J6" s="63">
        <v>0</v>
      </c>
      <c r="K6" s="6"/>
      <c r="L6" s="4" t="s">
        <v>1224</v>
      </c>
      <c r="M6" s="6"/>
      <c r="N6" s="6"/>
      <c r="O6" s="83">
        <v>8000</v>
      </c>
    </row>
    <row r="7" ht="14.25" customHeight="1" spans="1:15">
      <c r="A7" s="48"/>
      <c r="B7" s="62"/>
      <c r="C7" s="4"/>
      <c r="D7" s="4"/>
      <c r="E7" s="6"/>
      <c r="F7" s="6"/>
      <c r="G7" s="6"/>
      <c r="H7" s="63"/>
      <c r="I7" s="6"/>
      <c r="J7" s="63"/>
      <c r="K7" s="6"/>
      <c r="L7" s="4"/>
      <c r="M7" s="6"/>
      <c r="N7" s="6"/>
      <c r="O7" s="83"/>
    </row>
    <row r="8" ht="14.25" customHeight="1" spans="1:15">
      <c r="A8" s="48"/>
      <c r="B8" s="62"/>
      <c r="C8" s="4"/>
      <c r="D8" s="4"/>
      <c r="E8" s="6"/>
      <c r="F8" s="6"/>
      <c r="G8" s="6"/>
      <c r="H8" s="63"/>
      <c r="I8" s="6"/>
      <c r="J8" s="63"/>
      <c r="K8" s="6"/>
      <c r="L8" s="4"/>
      <c r="M8" s="6"/>
      <c r="N8" s="6"/>
      <c r="O8" s="83"/>
    </row>
    <row r="9" ht="14.25" customHeight="1" spans="1:15">
      <c r="A9" s="48"/>
      <c r="B9" s="62"/>
      <c r="C9" s="4"/>
      <c r="D9" s="4"/>
      <c r="E9" s="6"/>
      <c r="F9" s="6"/>
      <c r="G9" s="6"/>
      <c r="H9" s="63"/>
      <c r="I9" s="6"/>
      <c r="J9" s="63"/>
      <c r="K9" s="6"/>
      <c r="L9" s="4"/>
      <c r="M9" s="6"/>
      <c r="N9" s="6"/>
      <c r="O9" s="83"/>
    </row>
    <row r="10" ht="14.25" customHeight="1" spans="1:15">
      <c r="A10" s="48"/>
      <c r="B10" s="62"/>
      <c r="C10" s="4"/>
      <c r="D10" s="4"/>
      <c r="E10" s="6"/>
      <c r="F10" s="6"/>
      <c r="G10" s="6"/>
      <c r="H10" s="63"/>
      <c r="I10" s="6"/>
      <c r="J10" s="63"/>
      <c r="K10" s="6"/>
      <c r="L10" s="4"/>
      <c r="M10" s="6"/>
      <c r="N10" s="6"/>
      <c r="O10" s="83"/>
    </row>
    <row r="11" ht="14.25" customHeight="1" spans="1:15">
      <c r="A11" s="48"/>
      <c r="B11" s="62"/>
      <c r="C11" s="4"/>
      <c r="D11" s="4"/>
      <c r="E11" s="6"/>
      <c r="F11" s="6"/>
      <c r="G11" s="6"/>
      <c r="H11" s="63"/>
      <c r="I11" s="6"/>
      <c r="J11" s="63"/>
      <c r="K11" s="6"/>
      <c r="L11" s="4"/>
      <c r="M11" s="6"/>
      <c r="N11" s="6"/>
      <c r="O11" s="83"/>
    </row>
    <row r="12" ht="14.25" customHeight="1" spans="1:18">
      <c r="A12" s="48"/>
      <c r="B12" s="62"/>
      <c r="C12" s="4"/>
      <c r="D12" s="4"/>
      <c r="E12" s="6"/>
      <c r="F12" s="6"/>
      <c r="G12" s="6"/>
      <c r="H12" s="63"/>
      <c r="I12" s="6"/>
      <c r="J12" s="63"/>
      <c r="K12" s="6"/>
      <c r="L12" s="4"/>
      <c r="M12" s="6"/>
      <c r="N12" s="6"/>
      <c r="O12" s="83"/>
      <c r="R12" s="42"/>
    </row>
    <row r="13" ht="14.25" customHeight="1" spans="1:15">
      <c r="A13" s="48"/>
      <c r="B13" s="62"/>
      <c r="C13" s="4"/>
      <c r="D13" s="4"/>
      <c r="E13" s="6"/>
      <c r="F13" s="6"/>
      <c r="G13" s="6"/>
      <c r="H13" s="63"/>
      <c r="I13" s="6"/>
      <c r="J13" s="63"/>
      <c r="K13" s="6"/>
      <c r="L13" s="4"/>
      <c r="M13" s="6"/>
      <c r="N13" s="6"/>
      <c r="O13" s="83"/>
    </row>
    <row r="14" ht="14.25" customHeight="1" spans="1:15">
      <c r="A14" s="48"/>
      <c r="B14" s="62"/>
      <c r="C14" s="4"/>
      <c r="D14" s="4"/>
      <c r="E14" s="6"/>
      <c r="F14" s="6"/>
      <c r="G14" s="6"/>
      <c r="H14" s="63"/>
      <c r="I14" s="6"/>
      <c r="J14" s="63"/>
      <c r="K14" s="6"/>
      <c r="L14" s="4"/>
      <c r="M14" s="6"/>
      <c r="N14" s="6"/>
      <c r="O14" s="83"/>
    </row>
    <row r="15" ht="14.25" customHeight="1" spans="1:15">
      <c r="A15" s="48"/>
      <c r="B15" s="62"/>
      <c r="C15" s="4"/>
      <c r="D15" s="4"/>
      <c r="E15" s="6"/>
      <c r="F15" s="6"/>
      <c r="G15" s="6"/>
      <c r="H15" s="63"/>
      <c r="I15" s="6"/>
      <c r="J15" s="63"/>
      <c r="K15" s="6"/>
      <c r="L15" s="4"/>
      <c r="M15" s="6"/>
      <c r="N15" s="6"/>
      <c r="O15" s="83"/>
    </row>
    <row r="16" ht="14.25" customHeight="1" spans="1:15">
      <c r="A16" s="48"/>
      <c r="B16" s="62"/>
      <c r="C16" s="4"/>
      <c r="D16" s="4"/>
      <c r="E16" s="6"/>
      <c r="F16" s="6"/>
      <c r="G16" s="6"/>
      <c r="H16" s="63"/>
      <c r="I16" s="6"/>
      <c r="J16" s="63"/>
      <c r="K16" s="6"/>
      <c r="L16" s="4"/>
      <c r="M16" s="6"/>
      <c r="N16" s="6"/>
      <c r="O16" s="83"/>
    </row>
    <row r="17" ht="14.25" customHeight="1" spans="1:15">
      <c r="A17" s="48"/>
      <c r="B17" s="62"/>
      <c r="C17" s="4"/>
      <c r="D17" s="4"/>
      <c r="E17" s="6"/>
      <c r="F17" s="6"/>
      <c r="G17" s="6"/>
      <c r="H17" s="63"/>
      <c r="I17" s="6"/>
      <c r="J17" s="63"/>
      <c r="K17" s="6"/>
      <c r="L17" s="4"/>
      <c r="M17" s="6"/>
      <c r="N17" s="6"/>
      <c r="O17" s="83"/>
    </row>
    <row r="18" ht="14.25" customHeight="1" spans="1:15">
      <c r="A18" s="48"/>
      <c r="B18" s="62"/>
      <c r="C18" s="4"/>
      <c r="D18" s="4"/>
      <c r="E18" s="6"/>
      <c r="F18" s="6"/>
      <c r="G18" s="6"/>
      <c r="H18" s="63"/>
      <c r="I18" s="6"/>
      <c r="J18" s="63"/>
      <c r="K18" s="6"/>
      <c r="L18" s="4"/>
      <c r="M18" s="6"/>
      <c r="N18" s="6"/>
      <c r="O18" s="83"/>
    </row>
    <row r="19" ht="14.25" customHeight="1" spans="1:15">
      <c r="A19" s="48"/>
      <c r="B19" s="62"/>
      <c r="C19" s="4"/>
      <c r="D19" s="4"/>
      <c r="E19" s="6"/>
      <c r="F19" s="6"/>
      <c r="G19" s="6"/>
      <c r="H19" s="63"/>
      <c r="I19" s="6"/>
      <c r="J19" s="63"/>
      <c r="K19" s="6"/>
      <c r="L19" s="4"/>
      <c r="M19" s="6"/>
      <c r="N19" s="6"/>
      <c r="O19" s="83"/>
    </row>
    <row r="20" ht="14.25" customHeight="1" spans="1:15">
      <c r="A20" s="48"/>
      <c r="B20" s="62"/>
      <c r="C20" s="4"/>
      <c r="D20" s="4"/>
      <c r="E20" s="6"/>
      <c r="F20" s="6"/>
      <c r="G20" s="6"/>
      <c r="H20" s="63"/>
      <c r="I20" s="6"/>
      <c r="J20" s="63"/>
      <c r="K20" s="6"/>
      <c r="L20" s="4"/>
      <c r="M20" s="6"/>
      <c r="N20" s="6"/>
      <c r="O20" s="83"/>
    </row>
    <row r="21" ht="14.25" customHeight="1" spans="1:15">
      <c r="A21" s="48"/>
      <c r="B21" s="62"/>
      <c r="C21" s="4"/>
      <c r="D21" s="4"/>
      <c r="E21" s="6"/>
      <c r="F21" s="6"/>
      <c r="G21" s="6"/>
      <c r="H21" s="63"/>
      <c r="I21" s="6"/>
      <c r="J21" s="63"/>
      <c r="K21" s="6"/>
      <c r="L21" s="4"/>
      <c r="M21" s="6"/>
      <c r="N21" s="6"/>
      <c r="O21" s="83"/>
    </row>
    <row r="22" ht="14.25" customHeight="1" spans="1:17">
      <c r="A22" s="48"/>
      <c r="B22" s="62"/>
      <c r="C22" s="4"/>
      <c r="D22" s="4"/>
      <c r="E22" s="6"/>
      <c r="F22" s="6"/>
      <c r="G22" s="6"/>
      <c r="H22" s="63"/>
      <c r="I22" s="6"/>
      <c r="J22" s="63"/>
      <c r="K22" s="6"/>
      <c r="L22" s="4"/>
      <c r="M22" s="6"/>
      <c r="N22" s="6"/>
      <c r="O22" s="83"/>
      <c r="Q22" s="42"/>
    </row>
    <row r="23" ht="14.25" customHeight="1" spans="1:15">
      <c r="A23" s="48"/>
      <c r="B23" s="62"/>
      <c r="C23" s="4"/>
      <c r="D23" s="4"/>
      <c r="E23" s="6"/>
      <c r="F23" s="6"/>
      <c r="G23" s="6"/>
      <c r="H23" s="63"/>
      <c r="I23" s="6"/>
      <c r="J23" s="63"/>
      <c r="K23" s="6"/>
      <c r="L23" s="4"/>
      <c r="M23" s="6"/>
      <c r="N23" s="6"/>
      <c r="O23" s="83"/>
    </row>
    <row r="24" ht="14.25" customHeight="1" spans="1:15">
      <c r="A24" s="48"/>
      <c r="B24" s="62"/>
      <c r="C24" s="4"/>
      <c r="D24" s="4"/>
      <c r="E24" s="6"/>
      <c r="F24" s="6"/>
      <c r="G24" s="6"/>
      <c r="H24" s="63"/>
      <c r="I24" s="6"/>
      <c r="J24" s="63"/>
      <c r="K24" s="6"/>
      <c r="L24" s="4"/>
      <c r="M24" s="6"/>
      <c r="N24" s="6"/>
      <c r="O24" s="83"/>
    </row>
    <row r="25" ht="14.25" customHeight="1" spans="1:15">
      <c r="A25" s="48"/>
      <c r="B25" s="62"/>
      <c r="C25" s="4"/>
      <c r="D25" s="4"/>
      <c r="E25" s="6"/>
      <c r="F25" s="6"/>
      <c r="G25" s="6"/>
      <c r="H25" s="63"/>
      <c r="I25" s="6"/>
      <c r="J25" s="63"/>
      <c r="K25" s="6"/>
      <c r="L25" s="4"/>
      <c r="M25" s="6"/>
      <c r="N25" s="6"/>
      <c r="O25" s="83"/>
    </row>
    <row r="26" ht="14.25" customHeight="1" spans="1:15">
      <c r="A26" s="48"/>
      <c r="B26" s="62"/>
      <c r="C26" s="4"/>
      <c r="D26" s="4"/>
      <c r="E26" s="6"/>
      <c r="F26" s="6"/>
      <c r="G26" s="6"/>
      <c r="H26" s="63"/>
      <c r="I26" s="6"/>
      <c r="J26" s="63"/>
      <c r="K26" s="6"/>
      <c r="L26" s="4"/>
      <c r="M26" s="6"/>
      <c r="N26" s="6"/>
      <c r="O26" s="83"/>
    </row>
    <row r="27" ht="14.25" customHeight="1" spans="1:15">
      <c r="A27" s="48"/>
      <c r="B27" s="62"/>
      <c r="C27" s="4"/>
      <c r="D27" s="4"/>
      <c r="E27" s="6"/>
      <c r="F27" s="6"/>
      <c r="G27" s="6"/>
      <c r="H27" s="63"/>
      <c r="I27" s="6"/>
      <c r="J27" s="63"/>
      <c r="K27" s="6"/>
      <c r="L27" s="4"/>
      <c r="M27" s="6"/>
      <c r="N27" s="6"/>
      <c r="O27" s="83"/>
    </row>
    <row r="28" ht="14.25" customHeight="1" spans="1:15">
      <c r="A28" s="48"/>
      <c r="B28" s="62"/>
      <c r="C28" s="4"/>
      <c r="D28" s="4"/>
      <c r="E28" s="6"/>
      <c r="F28" s="6"/>
      <c r="G28" s="6"/>
      <c r="H28" s="63"/>
      <c r="I28" s="6"/>
      <c r="J28" s="63"/>
      <c r="K28" s="6"/>
      <c r="L28" s="4"/>
      <c r="M28" s="6"/>
      <c r="N28" s="6"/>
      <c r="O28" s="83"/>
    </row>
    <row r="29" ht="14.25" customHeight="1" spans="1:15">
      <c r="A29" s="48"/>
      <c r="B29" s="64"/>
      <c r="C29" s="55"/>
      <c r="D29" s="55"/>
      <c r="E29" s="65"/>
      <c r="F29" s="66"/>
      <c r="G29" s="66"/>
      <c r="H29" s="67"/>
      <c r="I29" s="66"/>
      <c r="J29" s="67"/>
      <c r="K29" s="66"/>
      <c r="L29" s="55"/>
      <c r="M29" s="66"/>
      <c r="N29" s="66"/>
      <c r="O29" s="84"/>
    </row>
    <row r="30" ht="14.25" customHeight="1" spans="1:15">
      <c r="A30" s="42"/>
      <c r="B30" s="49"/>
      <c r="C30" s="50"/>
      <c r="D30" s="50"/>
      <c r="E30" s="68"/>
      <c r="F30" s="69"/>
      <c r="G30" s="69"/>
      <c r="H30" s="70"/>
      <c r="I30" s="70"/>
      <c r="J30" s="70"/>
      <c r="K30" s="70"/>
      <c r="L30" s="85"/>
      <c r="M30" s="69"/>
      <c r="N30" s="69"/>
      <c r="O30" s="86"/>
    </row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</sheetData>
  <mergeCells count="15">
    <mergeCell ref="E1:N1"/>
    <mergeCell ref="C2:D2"/>
    <mergeCell ref="B3:C3"/>
    <mergeCell ref="D3:D4"/>
    <mergeCell ref="E3:E4"/>
    <mergeCell ref="F3:F4"/>
    <mergeCell ref="G3:G4"/>
    <mergeCell ref="H3:H4"/>
    <mergeCell ref="I3:I4"/>
    <mergeCell ref="J3:J4"/>
    <mergeCell ref="K3:K4"/>
    <mergeCell ref="L3:L4"/>
    <mergeCell ref="M3:M4"/>
    <mergeCell ref="N3:N4"/>
    <mergeCell ref="O3:O4"/>
  </mergeCells>
  <hyperlinks>
    <hyperlink ref="C1" location="总账!A1" display="返回总账"/>
  </hyperlinks>
  <pageMargins left="0.699305555555556" right="0.699305555555556" top="0.75" bottom="0.75" header="0.3" footer="0.3"/>
  <pageSetup paperSize="9" orientation="portrait" horizontalDpi="180" verticalDpi="180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N1351"/>
  <sheetViews>
    <sheetView workbookViewId="0">
      <selection activeCell="D28" sqref="D28"/>
    </sheetView>
  </sheetViews>
  <sheetFormatPr defaultColWidth="9" defaultRowHeight="15"/>
  <cols>
    <col min="1" max="1" width="8.12380952380952" customWidth="1"/>
    <col min="2" max="2" width="26.1238095238095" customWidth="1"/>
    <col min="4" max="4" width="17.752380952381" customWidth="1"/>
    <col min="5" max="6" width="9" hidden="1" customWidth="1"/>
    <col min="10" max="10" width="4.5047619047619" customWidth="1"/>
    <col min="12" max="12" width="3.5047619047619" customWidth="1"/>
    <col min="13" max="13" width="3.75238095238095" customWidth="1"/>
    <col min="14" max="14" width="3.87619047619048" customWidth="1"/>
  </cols>
  <sheetData>
    <row r="1" ht="15.75" spans="1:14">
      <c r="A1" s="21" t="s">
        <v>35</v>
      </c>
      <c r="B1" s="21" t="s">
        <v>35</v>
      </c>
      <c r="C1" s="22" t="s">
        <v>36</v>
      </c>
      <c r="D1" s="23" t="s">
        <v>37</v>
      </c>
      <c r="E1" s="22" t="s">
        <v>41</v>
      </c>
      <c r="F1" s="22" t="s">
        <v>42</v>
      </c>
      <c r="G1" s="22" t="s">
        <v>207</v>
      </c>
      <c r="H1" s="22" t="s">
        <v>208</v>
      </c>
      <c r="I1" s="29" t="s">
        <v>188</v>
      </c>
      <c r="J1" s="22" t="s">
        <v>209</v>
      </c>
      <c r="K1" s="30" t="s">
        <v>185</v>
      </c>
      <c r="L1" s="31" t="s">
        <v>186</v>
      </c>
      <c r="M1" s="31" t="s">
        <v>187</v>
      </c>
      <c r="N1" s="32" t="s">
        <v>210</v>
      </c>
    </row>
    <row r="2" ht="15.75" spans="2:2">
      <c r="B2">
        <v>221108</v>
      </c>
    </row>
    <row r="5" ht="15.75" spans="1:14">
      <c r="A5" s="21" t="s">
        <v>35</v>
      </c>
      <c r="B5" s="24" t="s">
        <v>206</v>
      </c>
      <c r="C5" s="24" t="s">
        <v>36</v>
      </c>
      <c r="D5" s="25" t="s">
        <v>37</v>
      </c>
      <c r="E5" s="24" t="s">
        <v>41</v>
      </c>
      <c r="F5" s="24" t="s">
        <v>42</v>
      </c>
      <c r="G5" s="24" t="s">
        <v>207</v>
      </c>
      <c r="H5" s="24" t="s">
        <v>208</v>
      </c>
      <c r="I5" s="33" t="s">
        <v>188</v>
      </c>
      <c r="J5" s="24" t="s">
        <v>209</v>
      </c>
      <c r="K5" s="34" t="s">
        <v>185</v>
      </c>
      <c r="L5" s="35" t="s">
        <v>186</v>
      </c>
      <c r="M5" s="35" t="s">
        <v>187</v>
      </c>
      <c r="N5" s="36" t="s">
        <v>210</v>
      </c>
    </row>
    <row r="6" ht="15.75" spans="1:14">
      <c r="A6" s="26">
        <v>221108</v>
      </c>
      <c r="B6" s="27" t="s">
        <v>959</v>
      </c>
      <c r="C6" s="26" t="s">
        <v>113</v>
      </c>
      <c r="D6" s="27" t="s">
        <v>121</v>
      </c>
      <c r="E6" s="26"/>
      <c r="F6" s="26"/>
      <c r="G6" s="28">
        <v>4000</v>
      </c>
      <c r="H6" s="26">
        <v>0</v>
      </c>
      <c r="I6" s="26">
        <v>34</v>
      </c>
      <c r="J6" s="26">
        <v>1</v>
      </c>
      <c r="K6" s="34">
        <v>2014</v>
      </c>
      <c r="L6" s="28">
        <v>11</v>
      </c>
      <c r="M6" s="28">
        <v>30</v>
      </c>
      <c r="N6" s="26"/>
    </row>
    <row r="7" spans="1:14">
      <c r="A7" s="26">
        <v>221108</v>
      </c>
      <c r="B7" s="27" t="s">
        <v>994</v>
      </c>
      <c r="C7" s="26" t="s">
        <v>113</v>
      </c>
      <c r="D7" s="27" t="s">
        <v>121</v>
      </c>
      <c r="E7" s="26"/>
      <c r="F7" s="26"/>
      <c r="G7" s="28">
        <v>0</v>
      </c>
      <c r="H7" s="26">
        <v>14000</v>
      </c>
      <c r="I7" s="26">
        <v>33</v>
      </c>
      <c r="J7" s="26">
        <v>1</v>
      </c>
      <c r="K7" s="34">
        <v>2014</v>
      </c>
      <c r="L7" s="28">
        <v>11</v>
      </c>
      <c r="M7" s="28">
        <v>30</v>
      </c>
      <c r="N7" s="26"/>
    </row>
    <row r="8" spans="1:14">
      <c r="A8" s="26"/>
      <c r="B8" s="27"/>
      <c r="C8" s="26"/>
      <c r="D8" s="27"/>
      <c r="E8" s="26"/>
      <c r="F8" s="26"/>
      <c r="G8" s="28"/>
      <c r="H8" s="26"/>
      <c r="I8" s="26"/>
      <c r="J8" s="26"/>
      <c r="K8" s="34"/>
      <c r="L8" s="28"/>
      <c r="M8" s="28"/>
      <c r="N8" s="26"/>
    </row>
    <row r="9" spans="1:14">
      <c r="A9" s="26"/>
      <c r="B9" s="27"/>
      <c r="C9" s="26"/>
      <c r="D9" s="27"/>
      <c r="E9" s="26"/>
      <c r="F9" s="26"/>
      <c r="G9" s="28"/>
      <c r="H9" s="26"/>
      <c r="I9" s="26"/>
      <c r="J9" s="26"/>
      <c r="K9" s="34"/>
      <c r="L9" s="28"/>
      <c r="M9" s="28"/>
      <c r="N9" s="26"/>
    </row>
    <row r="10" spans="1:14">
      <c r="A10" s="26"/>
      <c r="B10" s="27"/>
      <c r="C10" s="26"/>
      <c r="D10" s="27"/>
      <c r="E10" s="26"/>
      <c r="F10" s="26"/>
      <c r="G10" s="28"/>
      <c r="H10" s="26"/>
      <c r="I10" s="26"/>
      <c r="J10" s="26"/>
      <c r="K10" s="34"/>
      <c r="L10" s="28"/>
      <c r="M10" s="28"/>
      <c r="N10" s="26"/>
    </row>
    <row r="11" spans="1:14">
      <c r="A11" s="26"/>
      <c r="B11" s="27"/>
      <c r="C11" s="26"/>
      <c r="D11" s="27"/>
      <c r="E11" s="26"/>
      <c r="F11" s="26"/>
      <c r="G11" s="28"/>
      <c r="H11" s="26"/>
      <c r="I11" s="26"/>
      <c r="J11" s="26"/>
      <c r="K11" s="34"/>
      <c r="L11" s="28"/>
      <c r="M11" s="28"/>
      <c r="N11" s="26"/>
    </row>
    <row r="12" spans="1:14">
      <c r="A12" s="26"/>
      <c r="B12" s="27"/>
      <c r="C12" s="26"/>
      <c r="D12" s="27"/>
      <c r="E12" s="26"/>
      <c r="F12" s="26"/>
      <c r="G12" s="28"/>
      <c r="H12" s="26"/>
      <c r="I12" s="26"/>
      <c r="J12" s="26"/>
      <c r="K12" s="34"/>
      <c r="L12" s="28"/>
      <c r="M12" s="28"/>
      <c r="N12" s="26"/>
    </row>
    <row r="13" spans="1:14">
      <c r="A13" s="26"/>
      <c r="B13" s="27"/>
      <c r="C13" s="26"/>
      <c r="D13" s="27"/>
      <c r="E13" s="26"/>
      <c r="F13" s="26"/>
      <c r="G13" s="28"/>
      <c r="H13" s="26"/>
      <c r="I13" s="26"/>
      <c r="J13" s="26"/>
      <c r="K13" s="34"/>
      <c r="L13" s="28"/>
      <c r="M13" s="28"/>
      <c r="N13" s="26"/>
    </row>
    <row r="14" spans="1:14">
      <c r="A14" s="26"/>
      <c r="B14" s="27"/>
      <c r="C14" s="26"/>
      <c r="D14" s="27"/>
      <c r="E14" s="26"/>
      <c r="F14" s="26"/>
      <c r="G14" s="28"/>
      <c r="H14" s="26"/>
      <c r="I14" s="26"/>
      <c r="J14" s="26"/>
      <c r="K14" s="34"/>
      <c r="L14" s="28"/>
      <c r="M14" s="28"/>
      <c r="N14" s="26"/>
    </row>
    <row r="15" spans="1:14">
      <c r="A15" s="26"/>
      <c r="B15" s="27"/>
      <c r="C15" s="26"/>
      <c r="D15" s="27"/>
      <c r="E15" s="26"/>
      <c r="F15" s="26"/>
      <c r="G15" s="28"/>
      <c r="H15" s="26"/>
      <c r="I15" s="26"/>
      <c r="J15" s="26"/>
      <c r="K15" s="34"/>
      <c r="L15" s="28"/>
      <c r="M15" s="28"/>
      <c r="N15" s="26"/>
    </row>
    <row r="16" spans="1:14">
      <c r="A16" s="26"/>
      <c r="B16" s="27"/>
      <c r="C16" s="26"/>
      <c r="D16" s="27"/>
      <c r="E16" s="26"/>
      <c r="F16" s="26"/>
      <c r="G16" s="28"/>
      <c r="H16" s="26"/>
      <c r="I16" s="26"/>
      <c r="J16" s="26"/>
      <c r="K16" s="34"/>
      <c r="L16" s="28"/>
      <c r="M16" s="28"/>
      <c r="N16" s="26"/>
    </row>
    <row r="17" spans="1:14">
      <c r="A17" s="26"/>
      <c r="B17" s="27"/>
      <c r="C17" s="26"/>
      <c r="D17" s="27"/>
      <c r="E17" s="26"/>
      <c r="F17" s="26"/>
      <c r="G17" s="28"/>
      <c r="H17" s="26"/>
      <c r="I17" s="26"/>
      <c r="J17" s="26"/>
      <c r="K17" s="34"/>
      <c r="L17" s="28"/>
      <c r="M17" s="28"/>
      <c r="N17" s="26"/>
    </row>
    <row r="18" spans="1:14">
      <c r="A18" s="26"/>
      <c r="B18" s="27"/>
      <c r="C18" s="26"/>
      <c r="D18" s="27"/>
      <c r="E18" s="26"/>
      <c r="F18" s="26"/>
      <c r="G18" s="28"/>
      <c r="H18" s="26"/>
      <c r="I18" s="26"/>
      <c r="J18" s="26"/>
      <c r="K18" s="34"/>
      <c r="L18" s="28"/>
      <c r="M18" s="28"/>
      <c r="N18" s="26"/>
    </row>
    <row r="19" spans="1:14">
      <c r="A19" s="26"/>
      <c r="B19" s="27"/>
      <c r="C19" s="26"/>
      <c r="D19" s="27"/>
      <c r="E19" s="26"/>
      <c r="F19" s="26"/>
      <c r="G19" s="28"/>
      <c r="H19" s="26"/>
      <c r="I19" s="26"/>
      <c r="J19" s="26"/>
      <c r="K19" s="34"/>
      <c r="L19" s="28"/>
      <c r="M19" s="28"/>
      <c r="N19" s="26"/>
    </row>
    <row r="20" spans="1:14">
      <c r="A20" s="26"/>
      <c r="B20" s="27"/>
      <c r="C20" s="26"/>
      <c r="D20" s="27"/>
      <c r="E20" s="26"/>
      <c r="F20" s="26"/>
      <c r="G20" s="28"/>
      <c r="H20" s="26"/>
      <c r="I20" s="26"/>
      <c r="J20" s="26"/>
      <c r="K20" s="34"/>
      <c r="L20" s="28"/>
      <c r="M20" s="28"/>
      <c r="N20" s="26"/>
    </row>
    <row r="21" spans="1:14">
      <c r="A21" s="26"/>
      <c r="B21" s="27"/>
      <c r="C21" s="26"/>
      <c r="D21" s="27"/>
      <c r="E21" s="26"/>
      <c r="F21" s="26"/>
      <c r="G21" s="28"/>
      <c r="H21" s="26"/>
      <c r="I21" s="26"/>
      <c r="J21" s="26"/>
      <c r="K21" s="34"/>
      <c r="L21" s="28"/>
      <c r="M21" s="28"/>
      <c r="N21" s="26"/>
    </row>
    <row r="22" spans="1:14">
      <c r="A22" s="26"/>
      <c r="B22" s="27"/>
      <c r="C22" s="26"/>
      <c r="D22" s="27"/>
      <c r="E22" s="26"/>
      <c r="F22" s="26"/>
      <c r="G22" s="28"/>
      <c r="H22" s="26"/>
      <c r="I22" s="26"/>
      <c r="J22" s="26"/>
      <c r="K22" s="34"/>
      <c r="L22" s="28"/>
      <c r="M22" s="28"/>
      <c r="N22" s="26"/>
    </row>
    <row r="23" spans="1:14">
      <c r="A23" s="26"/>
      <c r="B23" s="27"/>
      <c r="C23" s="26"/>
      <c r="D23" s="27"/>
      <c r="E23" s="26"/>
      <c r="F23" s="26"/>
      <c r="G23" s="28"/>
      <c r="H23" s="26"/>
      <c r="I23" s="26"/>
      <c r="J23" s="26"/>
      <c r="K23" s="34"/>
      <c r="L23" s="28"/>
      <c r="M23" s="28"/>
      <c r="N23" s="26"/>
    </row>
    <row r="24" spans="1:14">
      <c r="A24" s="26"/>
      <c r="B24" s="27"/>
      <c r="C24" s="26"/>
      <c r="D24" s="27"/>
      <c r="E24" s="26"/>
      <c r="F24" s="26"/>
      <c r="G24" s="28"/>
      <c r="H24" s="26"/>
      <c r="I24" s="26"/>
      <c r="J24" s="26"/>
      <c r="K24" s="34"/>
      <c r="L24" s="28"/>
      <c r="M24" s="28"/>
      <c r="N24" s="26"/>
    </row>
    <row r="25" spans="1:14">
      <c r="A25" s="26"/>
      <c r="B25" s="27"/>
      <c r="C25" s="26"/>
      <c r="D25" s="27"/>
      <c r="E25" s="26"/>
      <c r="F25" s="26"/>
      <c r="G25" s="28"/>
      <c r="H25" s="26"/>
      <c r="I25" s="26"/>
      <c r="J25" s="26"/>
      <c r="K25" s="34"/>
      <c r="L25" s="28"/>
      <c r="M25" s="28"/>
      <c r="N25" s="26"/>
    </row>
    <row r="26" spans="1:14">
      <c r="A26" s="26"/>
      <c r="B26" s="27"/>
      <c r="C26" s="26"/>
      <c r="D26" s="27"/>
      <c r="E26" s="26"/>
      <c r="F26" s="26"/>
      <c r="G26" s="28"/>
      <c r="H26" s="26"/>
      <c r="I26" s="26"/>
      <c r="J26" s="26"/>
      <c r="K26" s="34"/>
      <c r="L26" s="28"/>
      <c r="M26" s="28"/>
      <c r="N26" s="26"/>
    </row>
    <row r="27" spans="1:14">
      <c r="A27" s="26"/>
      <c r="B27" s="27"/>
      <c r="C27" s="26"/>
      <c r="D27" s="27"/>
      <c r="E27" s="26"/>
      <c r="F27" s="26"/>
      <c r="G27" s="28"/>
      <c r="H27" s="26"/>
      <c r="I27" s="26"/>
      <c r="J27" s="26"/>
      <c r="K27" s="34"/>
      <c r="L27" s="28"/>
      <c r="M27" s="28"/>
      <c r="N27" s="26"/>
    </row>
    <row r="28" spans="1:14">
      <c r="A28" s="26"/>
      <c r="B28" s="27"/>
      <c r="C28" s="26"/>
      <c r="D28" s="27"/>
      <c r="E28" s="26"/>
      <c r="F28" s="26"/>
      <c r="G28" s="28"/>
      <c r="H28" s="26"/>
      <c r="I28" s="26"/>
      <c r="J28" s="26"/>
      <c r="K28" s="34"/>
      <c r="L28" s="28"/>
      <c r="M28" s="28"/>
      <c r="N28" s="26"/>
    </row>
    <row r="29" spans="1:14">
      <c r="A29" s="26"/>
      <c r="B29" s="27"/>
      <c r="C29" s="26"/>
      <c r="D29" s="27"/>
      <c r="E29" s="26"/>
      <c r="F29" s="26"/>
      <c r="G29" s="28"/>
      <c r="H29" s="26"/>
      <c r="I29" s="26"/>
      <c r="J29" s="26"/>
      <c r="K29" s="34"/>
      <c r="L29" s="28"/>
      <c r="M29" s="28"/>
      <c r="N29" s="26"/>
    </row>
    <row r="30" spans="1:14">
      <c r="A30" s="26"/>
      <c r="B30" s="27"/>
      <c r="C30" s="26"/>
      <c r="D30" s="27"/>
      <c r="E30" s="26"/>
      <c r="F30" s="26"/>
      <c r="G30" s="28"/>
      <c r="H30" s="26"/>
      <c r="I30" s="26"/>
      <c r="J30" s="26"/>
      <c r="K30" s="34"/>
      <c r="L30" s="28"/>
      <c r="M30" s="28"/>
      <c r="N30" s="26"/>
    </row>
    <row r="31" spans="1:14">
      <c r="A31" s="26"/>
      <c r="B31" s="27"/>
      <c r="C31" s="26"/>
      <c r="D31" s="27"/>
      <c r="E31" s="26"/>
      <c r="F31" s="26"/>
      <c r="G31" s="28"/>
      <c r="H31" s="26"/>
      <c r="I31" s="26"/>
      <c r="J31" s="26"/>
      <c r="K31" s="34"/>
      <c r="L31" s="28"/>
      <c r="M31" s="28"/>
      <c r="N31" s="26"/>
    </row>
    <row r="32" spans="1:14">
      <c r="A32" s="26"/>
      <c r="B32" s="27"/>
      <c r="C32" s="26"/>
      <c r="D32" s="27"/>
      <c r="E32" s="26"/>
      <c r="F32" s="26"/>
      <c r="G32" s="28"/>
      <c r="H32" s="26"/>
      <c r="I32" s="26"/>
      <c r="J32" s="26"/>
      <c r="K32" s="34"/>
      <c r="L32" s="28"/>
      <c r="M32" s="28"/>
      <c r="N32" s="26"/>
    </row>
    <row r="33" spans="1:14">
      <c r="A33" s="26"/>
      <c r="B33" s="27"/>
      <c r="C33" s="26"/>
      <c r="D33" s="27"/>
      <c r="E33" s="26"/>
      <c r="F33" s="26"/>
      <c r="G33" s="28"/>
      <c r="H33" s="26"/>
      <c r="I33" s="26"/>
      <c r="J33" s="26"/>
      <c r="K33" s="34"/>
      <c r="L33" s="28"/>
      <c r="M33" s="28"/>
      <c r="N33" s="26"/>
    </row>
    <row r="34" spans="1:14">
      <c r="A34" s="26"/>
      <c r="B34" s="27"/>
      <c r="C34" s="26"/>
      <c r="D34" s="27"/>
      <c r="E34" s="26"/>
      <c r="F34" s="26"/>
      <c r="G34" s="28"/>
      <c r="H34" s="26"/>
      <c r="I34" s="26"/>
      <c r="J34" s="26"/>
      <c r="K34" s="34"/>
      <c r="L34" s="28"/>
      <c r="M34" s="28"/>
      <c r="N34" s="26"/>
    </row>
    <row r="35" spans="1:14">
      <c r="A35" s="26"/>
      <c r="B35" s="27"/>
      <c r="C35" s="26"/>
      <c r="D35" s="27"/>
      <c r="E35" s="26"/>
      <c r="F35" s="26"/>
      <c r="G35" s="28"/>
      <c r="H35" s="26"/>
      <c r="I35" s="26"/>
      <c r="J35" s="26"/>
      <c r="K35" s="34"/>
      <c r="L35" s="28"/>
      <c r="M35" s="28"/>
      <c r="N35" s="26"/>
    </row>
    <row r="36" spans="1:14">
      <c r="A36" s="26"/>
      <c r="B36" s="27"/>
      <c r="C36" s="26"/>
      <c r="D36" s="27"/>
      <c r="E36" s="26"/>
      <c r="F36" s="26"/>
      <c r="G36" s="28"/>
      <c r="H36" s="26"/>
      <c r="I36" s="26"/>
      <c r="J36" s="26"/>
      <c r="K36" s="34"/>
      <c r="L36" s="28"/>
      <c r="M36" s="28"/>
      <c r="N36" s="26"/>
    </row>
    <row r="37" spans="1:14">
      <c r="A37" s="26"/>
      <c r="B37" s="27"/>
      <c r="C37" s="26"/>
      <c r="D37" s="27"/>
      <c r="E37" s="26"/>
      <c r="F37" s="26"/>
      <c r="G37" s="28"/>
      <c r="H37" s="26"/>
      <c r="I37" s="26"/>
      <c r="J37" s="26"/>
      <c r="K37" s="34"/>
      <c r="L37" s="28"/>
      <c r="M37" s="28"/>
      <c r="N37" s="26"/>
    </row>
    <row r="38" spans="1:14">
      <c r="A38" s="26"/>
      <c r="B38" s="27"/>
      <c r="C38" s="26"/>
      <c r="D38" s="27"/>
      <c r="E38" s="26"/>
      <c r="F38" s="26"/>
      <c r="G38" s="28"/>
      <c r="H38" s="26"/>
      <c r="I38" s="26"/>
      <c r="J38" s="26"/>
      <c r="K38" s="34"/>
      <c r="L38" s="28"/>
      <c r="M38" s="28"/>
      <c r="N38" s="26"/>
    </row>
    <row r="39" spans="1:14">
      <c r="A39" s="26"/>
      <c r="B39" s="27"/>
      <c r="C39" s="26"/>
      <c r="D39" s="27"/>
      <c r="E39" s="26"/>
      <c r="F39" s="26"/>
      <c r="G39" s="28"/>
      <c r="H39" s="26"/>
      <c r="I39" s="26"/>
      <c r="J39" s="26"/>
      <c r="K39" s="34"/>
      <c r="L39" s="28"/>
      <c r="M39" s="28"/>
      <c r="N39" s="26"/>
    </row>
    <row r="40" spans="1:14">
      <c r="A40" s="26"/>
      <c r="B40" s="27"/>
      <c r="C40" s="26"/>
      <c r="D40" s="27"/>
      <c r="E40" s="26"/>
      <c r="F40" s="26"/>
      <c r="G40" s="28"/>
      <c r="H40" s="26"/>
      <c r="I40" s="26"/>
      <c r="J40" s="26"/>
      <c r="K40" s="34"/>
      <c r="L40" s="28"/>
      <c r="M40" s="28"/>
      <c r="N40" s="26"/>
    </row>
    <row r="41" spans="1:14">
      <c r="A41" s="26"/>
      <c r="B41" s="27"/>
      <c r="C41" s="26"/>
      <c r="D41" s="27"/>
      <c r="E41" s="26"/>
      <c r="F41" s="26"/>
      <c r="G41" s="28"/>
      <c r="H41" s="26"/>
      <c r="I41" s="26"/>
      <c r="J41" s="26"/>
      <c r="K41" s="34"/>
      <c r="L41" s="28"/>
      <c r="M41" s="28"/>
      <c r="N41" s="26"/>
    </row>
    <row r="42" spans="1:14">
      <c r="A42" s="26"/>
      <c r="B42" s="27"/>
      <c r="C42" s="26"/>
      <c r="D42" s="27"/>
      <c r="E42" s="26"/>
      <c r="F42" s="26"/>
      <c r="G42" s="28"/>
      <c r="H42" s="26"/>
      <c r="I42" s="26"/>
      <c r="J42" s="26"/>
      <c r="K42" s="34"/>
      <c r="L42" s="28"/>
      <c r="M42" s="28"/>
      <c r="N42" s="26"/>
    </row>
    <row r="43" spans="1:14">
      <c r="A43" s="26"/>
      <c r="B43" s="27"/>
      <c r="C43" s="26"/>
      <c r="D43" s="27"/>
      <c r="E43" s="26"/>
      <c r="F43" s="26"/>
      <c r="G43" s="28"/>
      <c r="H43" s="26"/>
      <c r="I43" s="26"/>
      <c r="J43" s="26"/>
      <c r="K43" s="34"/>
      <c r="L43" s="28"/>
      <c r="M43" s="28"/>
      <c r="N43" s="26"/>
    </row>
    <row r="44" spans="1:14">
      <c r="A44" s="26"/>
      <c r="B44" s="27"/>
      <c r="C44" s="26"/>
      <c r="D44" s="27"/>
      <c r="E44" s="26"/>
      <c r="F44" s="26"/>
      <c r="G44" s="28"/>
      <c r="H44" s="26"/>
      <c r="I44" s="26"/>
      <c r="J44" s="26"/>
      <c r="K44" s="34"/>
      <c r="L44" s="28"/>
      <c r="M44" s="28"/>
      <c r="N44" s="26"/>
    </row>
    <row r="45" spans="1:14">
      <c r="A45" s="26"/>
      <c r="B45" s="27"/>
      <c r="C45" s="26"/>
      <c r="D45" s="27"/>
      <c r="E45" s="26"/>
      <c r="F45" s="26"/>
      <c r="G45" s="28"/>
      <c r="H45" s="26"/>
      <c r="I45" s="26"/>
      <c r="J45" s="26"/>
      <c r="K45" s="34"/>
      <c r="L45" s="28"/>
      <c r="M45" s="28"/>
      <c r="N45" s="26"/>
    </row>
    <row r="46" spans="1:14">
      <c r="A46" s="26"/>
      <c r="B46" s="27"/>
      <c r="C46" s="26"/>
      <c r="D46" s="27"/>
      <c r="E46" s="26"/>
      <c r="F46" s="26"/>
      <c r="G46" s="28"/>
      <c r="H46" s="26"/>
      <c r="I46" s="26"/>
      <c r="J46" s="26"/>
      <c r="K46" s="34"/>
      <c r="L46" s="28"/>
      <c r="M46" s="28"/>
      <c r="N46" s="26"/>
    </row>
    <row r="47" spans="1:14">
      <c r="A47" s="26"/>
      <c r="B47" s="27"/>
      <c r="C47" s="26"/>
      <c r="D47" s="27"/>
      <c r="E47" s="26"/>
      <c r="F47" s="26"/>
      <c r="G47" s="28"/>
      <c r="H47" s="26"/>
      <c r="I47" s="26"/>
      <c r="J47" s="26"/>
      <c r="K47" s="34"/>
      <c r="L47" s="28"/>
      <c r="M47" s="28"/>
      <c r="N47" s="26"/>
    </row>
    <row r="48" spans="1:14">
      <c r="A48" s="26"/>
      <c r="B48" s="27"/>
      <c r="C48" s="26"/>
      <c r="D48" s="27"/>
      <c r="E48" s="26"/>
      <c r="F48" s="26"/>
      <c r="G48" s="28"/>
      <c r="H48" s="26"/>
      <c r="I48" s="26"/>
      <c r="J48" s="26"/>
      <c r="K48" s="34"/>
      <c r="L48" s="28"/>
      <c r="M48" s="28"/>
      <c r="N48" s="26"/>
    </row>
    <row r="49" spans="1:14">
      <c r="A49" s="26"/>
      <c r="B49" s="27"/>
      <c r="C49" s="26"/>
      <c r="D49" s="27"/>
      <c r="E49" s="26"/>
      <c r="F49" s="26"/>
      <c r="G49" s="28"/>
      <c r="H49" s="26"/>
      <c r="I49" s="26"/>
      <c r="J49" s="26"/>
      <c r="K49" s="34"/>
      <c r="L49" s="28"/>
      <c r="M49" s="28"/>
      <c r="N49" s="26"/>
    </row>
    <row r="50" spans="1:14">
      <c r="A50" s="26"/>
      <c r="B50" s="27"/>
      <c r="C50" s="26"/>
      <c r="D50" s="27"/>
      <c r="E50" s="26"/>
      <c r="F50" s="26"/>
      <c r="G50" s="28"/>
      <c r="H50" s="26"/>
      <c r="I50" s="26"/>
      <c r="J50" s="26"/>
      <c r="K50" s="34"/>
      <c r="L50" s="28"/>
      <c r="M50" s="28"/>
      <c r="N50" s="26"/>
    </row>
    <row r="51" spans="1:14">
      <c r="A51" s="26"/>
      <c r="B51" s="27"/>
      <c r="C51" s="26"/>
      <c r="D51" s="27"/>
      <c r="E51" s="26"/>
      <c r="F51" s="26"/>
      <c r="G51" s="28"/>
      <c r="H51" s="26"/>
      <c r="I51" s="26"/>
      <c r="J51" s="26"/>
      <c r="K51" s="34"/>
      <c r="L51" s="28"/>
      <c r="M51" s="28"/>
      <c r="N51" s="26"/>
    </row>
    <row r="52" spans="1:14">
      <c r="A52" s="26"/>
      <c r="B52" s="27"/>
      <c r="C52" s="26"/>
      <c r="D52" s="27"/>
      <c r="E52" s="26"/>
      <c r="F52" s="26"/>
      <c r="G52" s="28"/>
      <c r="H52" s="26"/>
      <c r="I52" s="26"/>
      <c r="J52" s="26"/>
      <c r="K52" s="34"/>
      <c r="L52" s="28"/>
      <c r="M52" s="28"/>
      <c r="N52" s="26"/>
    </row>
    <row r="53" spans="1:14">
      <c r="A53" s="26"/>
      <c r="B53" s="27"/>
      <c r="C53" s="26"/>
      <c r="D53" s="27"/>
      <c r="E53" s="26"/>
      <c r="F53" s="26"/>
      <c r="G53" s="28"/>
      <c r="H53" s="26"/>
      <c r="I53" s="26"/>
      <c r="J53" s="26"/>
      <c r="K53" s="34"/>
      <c r="L53" s="28"/>
      <c r="M53" s="28"/>
      <c r="N53" s="26"/>
    </row>
    <row r="54" spans="1:14">
      <c r="A54" s="26"/>
      <c r="B54" s="27"/>
      <c r="C54" s="26"/>
      <c r="D54" s="27"/>
      <c r="E54" s="26"/>
      <c r="F54" s="26"/>
      <c r="G54" s="28"/>
      <c r="H54" s="26"/>
      <c r="I54" s="26"/>
      <c r="J54" s="26"/>
      <c r="K54" s="34"/>
      <c r="L54" s="28"/>
      <c r="M54" s="28"/>
      <c r="N54" s="26"/>
    </row>
    <row r="55" spans="1:14">
      <c r="A55" s="26"/>
      <c r="B55" s="27"/>
      <c r="C55" s="26"/>
      <c r="D55" s="27"/>
      <c r="E55" s="26"/>
      <c r="F55" s="26"/>
      <c r="G55" s="28"/>
      <c r="H55" s="26"/>
      <c r="I55" s="26"/>
      <c r="J55" s="26"/>
      <c r="K55" s="34"/>
      <c r="L55" s="28"/>
      <c r="M55" s="28"/>
      <c r="N55" s="26"/>
    </row>
    <row r="56" spans="1:14">
      <c r="A56" s="26"/>
      <c r="B56" s="27"/>
      <c r="C56" s="26"/>
      <c r="D56" s="27"/>
      <c r="E56" s="26"/>
      <c r="F56" s="26"/>
      <c r="G56" s="28"/>
      <c r="H56" s="26"/>
      <c r="I56" s="26"/>
      <c r="J56" s="26"/>
      <c r="K56" s="34"/>
      <c r="L56" s="28"/>
      <c r="M56" s="28"/>
      <c r="N56" s="26"/>
    </row>
    <row r="57" spans="1:14">
      <c r="A57" s="26"/>
      <c r="B57" s="27"/>
      <c r="C57" s="26"/>
      <c r="D57" s="27"/>
      <c r="E57" s="26"/>
      <c r="F57" s="26"/>
      <c r="G57" s="28"/>
      <c r="H57" s="26"/>
      <c r="I57" s="26"/>
      <c r="J57" s="26"/>
      <c r="K57" s="34"/>
      <c r="L57" s="28"/>
      <c r="M57" s="28"/>
      <c r="N57" s="26"/>
    </row>
    <row r="58" spans="1:14">
      <c r="A58" s="26"/>
      <c r="B58" s="27"/>
      <c r="C58" s="26"/>
      <c r="D58" s="27"/>
      <c r="E58" s="26"/>
      <c r="F58" s="26"/>
      <c r="G58" s="28"/>
      <c r="H58" s="26"/>
      <c r="I58" s="26"/>
      <c r="J58" s="26"/>
      <c r="K58" s="34"/>
      <c r="L58" s="28"/>
      <c r="M58" s="28"/>
      <c r="N58" s="26"/>
    </row>
    <row r="59" spans="1:14">
      <c r="A59" s="26"/>
      <c r="B59" s="27"/>
      <c r="C59" s="26"/>
      <c r="D59" s="27"/>
      <c r="E59" s="26"/>
      <c r="F59" s="26"/>
      <c r="G59" s="28"/>
      <c r="H59" s="26"/>
      <c r="I59" s="26"/>
      <c r="J59" s="26"/>
      <c r="K59" s="34"/>
      <c r="L59" s="28"/>
      <c r="M59" s="28"/>
      <c r="N59" s="26"/>
    </row>
    <row r="60" spans="1:14">
      <c r="A60" s="26"/>
      <c r="B60" s="27"/>
      <c r="C60" s="26"/>
      <c r="D60" s="27"/>
      <c r="E60" s="26"/>
      <c r="F60" s="26"/>
      <c r="G60" s="28"/>
      <c r="H60" s="26"/>
      <c r="I60" s="26"/>
      <c r="J60" s="26"/>
      <c r="K60" s="34"/>
      <c r="L60" s="28"/>
      <c r="M60" s="28"/>
      <c r="N60" s="26"/>
    </row>
    <row r="61" spans="1:14">
      <c r="A61" s="26"/>
      <c r="B61" s="27"/>
      <c r="C61" s="26"/>
      <c r="D61" s="27"/>
      <c r="E61" s="26"/>
      <c r="F61" s="26"/>
      <c r="G61" s="28"/>
      <c r="H61" s="26"/>
      <c r="I61" s="26"/>
      <c r="J61" s="26"/>
      <c r="K61" s="34"/>
      <c r="L61" s="28"/>
      <c r="M61" s="28"/>
      <c r="N61" s="26"/>
    </row>
    <row r="62" spans="1:14">
      <c r="A62" s="26"/>
      <c r="B62" s="27"/>
      <c r="C62" s="26"/>
      <c r="D62" s="27"/>
      <c r="E62" s="26"/>
      <c r="F62" s="26"/>
      <c r="G62" s="28"/>
      <c r="H62" s="26"/>
      <c r="I62" s="26"/>
      <c r="J62" s="26"/>
      <c r="K62" s="34"/>
      <c r="L62" s="28"/>
      <c r="M62" s="28"/>
      <c r="N62" s="26"/>
    </row>
    <row r="63" spans="1:14">
      <c r="A63" s="26"/>
      <c r="B63" s="27"/>
      <c r="C63" s="26"/>
      <c r="D63" s="27"/>
      <c r="E63" s="26"/>
      <c r="F63" s="26"/>
      <c r="G63" s="28"/>
      <c r="H63" s="26"/>
      <c r="I63" s="26"/>
      <c r="J63" s="26"/>
      <c r="K63" s="34"/>
      <c r="L63" s="28"/>
      <c r="M63" s="28"/>
      <c r="N63" s="26"/>
    </row>
    <row r="64" spans="1:14">
      <c r="A64" s="26"/>
      <c r="B64" s="27"/>
      <c r="C64" s="26"/>
      <c r="D64" s="27"/>
      <c r="E64" s="26"/>
      <c r="F64" s="26"/>
      <c r="G64" s="28"/>
      <c r="H64" s="26"/>
      <c r="I64" s="26"/>
      <c r="J64" s="26"/>
      <c r="K64" s="34"/>
      <c r="L64" s="28"/>
      <c r="M64" s="28"/>
      <c r="N64" s="26"/>
    </row>
    <row r="65" spans="1:14">
      <c r="A65" s="26"/>
      <c r="B65" s="27"/>
      <c r="C65" s="26"/>
      <c r="D65" s="27"/>
      <c r="E65" s="26"/>
      <c r="F65" s="26"/>
      <c r="G65" s="28"/>
      <c r="H65" s="26"/>
      <c r="I65" s="26"/>
      <c r="J65" s="26"/>
      <c r="K65" s="34"/>
      <c r="L65" s="28"/>
      <c r="M65" s="28"/>
      <c r="N65" s="26"/>
    </row>
    <row r="66" spans="1:14">
      <c r="A66" s="26"/>
      <c r="B66" s="27"/>
      <c r="C66" s="26"/>
      <c r="D66" s="27"/>
      <c r="E66" s="26"/>
      <c r="F66" s="26"/>
      <c r="G66" s="28"/>
      <c r="H66" s="26"/>
      <c r="I66" s="26"/>
      <c r="J66" s="26"/>
      <c r="K66" s="34"/>
      <c r="L66" s="28"/>
      <c r="M66" s="28"/>
      <c r="N66" s="26"/>
    </row>
    <row r="67" spans="1:14">
      <c r="A67" s="26"/>
      <c r="B67" s="27"/>
      <c r="C67" s="26"/>
      <c r="D67" s="27"/>
      <c r="E67" s="26"/>
      <c r="F67" s="26"/>
      <c r="G67" s="28"/>
      <c r="H67" s="26"/>
      <c r="I67" s="26"/>
      <c r="J67" s="26"/>
      <c r="K67" s="34"/>
      <c r="L67" s="28"/>
      <c r="M67" s="28"/>
      <c r="N67" s="26"/>
    </row>
    <row r="68" spans="1:14">
      <c r="A68" s="26"/>
      <c r="B68" s="27"/>
      <c r="C68" s="26"/>
      <c r="D68" s="27"/>
      <c r="E68" s="26"/>
      <c r="F68" s="26"/>
      <c r="G68" s="28"/>
      <c r="H68" s="26"/>
      <c r="I68" s="26"/>
      <c r="J68" s="26"/>
      <c r="K68" s="34"/>
      <c r="L68" s="28"/>
      <c r="M68" s="28"/>
      <c r="N68" s="26"/>
    </row>
    <row r="69" spans="1:14">
      <c r="A69" s="26"/>
      <c r="B69" s="27"/>
      <c r="C69" s="26"/>
      <c r="D69" s="27"/>
      <c r="E69" s="26"/>
      <c r="F69" s="26"/>
      <c r="G69" s="28"/>
      <c r="H69" s="26"/>
      <c r="I69" s="26"/>
      <c r="J69" s="26"/>
      <c r="K69" s="34"/>
      <c r="L69" s="28"/>
      <c r="M69" s="28"/>
      <c r="N69" s="26"/>
    </row>
    <row r="70" spans="1:14">
      <c r="A70" s="26"/>
      <c r="B70" s="27"/>
      <c r="C70" s="26"/>
      <c r="D70" s="27"/>
      <c r="E70" s="26"/>
      <c r="F70" s="26"/>
      <c r="G70" s="28"/>
      <c r="H70" s="26"/>
      <c r="I70" s="26"/>
      <c r="J70" s="26"/>
      <c r="K70" s="34"/>
      <c r="L70" s="28"/>
      <c r="M70" s="28"/>
      <c r="N70" s="26"/>
    </row>
    <row r="71" spans="1:14">
      <c r="A71" s="26"/>
      <c r="B71" s="27"/>
      <c r="C71" s="26"/>
      <c r="D71" s="27"/>
      <c r="E71" s="26"/>
      <c r="F71" s="26"/>
      <c r="G71" s="28"/>
      <c r="H71" s="26"/>
      <c r="I71" s="26"/>
      <c r="J71" s="26"/>
      <c r="K71" s="34"/>
      <c r="L71" s="28"/>
      <c r="M71" s="28"/>
      <c r="N71" s="26"/>
    </row>
    <row r="72" spans="1:14">
      <c r="A72" s="26"/>
      <c r="B72" s="27"/>
      <c r="C72" s="26"/>
      <c r="D72" s="27"/>
      <c r="E72" s="26"/>
      <c r="F72" s="26"/>
      <c r="G72" s="28"/>
      <c r="H72" s="26"/>
      <c r="I72" s="26"/>
      <c r="J72" s="26"/>
      <c r="K72" s="34"/>
      <c r="L72" s="28"/>
      <c r="M72" s="28"/>
      <c r="N72" s="26"/>
    </row>
    <row r="73" spans="1:14">
      <c r="A73" s="26"/>
      <c r="B73" s="27"/>
      <c r="C73" s="26"/>
      <c r="D73" s="27"/>
      <c r="E73" s="26"/>
      <c r="F73" s="26"/>
      <c r="G73" s="28"/>
      <c r="H73" s="26"/>
      <c r="I73" s="26"/>
      <c r="J73" s="26"/>
      <c r="K73" s="34"/>
      <c r="L73" s="28"/>
      <c r="M73" s="28"/>
      <c r="N73" s="26"/>
    </row>
    <row r="74" spans="1:14">
      <c r="A74" s="26"/>
      <c r="B74" s="27"/>
      <c r="C74" s="26"/>
      <c r="D74" s="27"/>
      <c r="E74" s="26"/>
      <c r="F74" s="26"/>
      <c r="G74" s="28"/>
      <c r="H74" s="26"/>
      <c r="I74" s="26"/>
      <c r="J74" s="26"/>
      <c r="K74" s="34"/>
      <c r="L74" s="28"/>
      <c r="M74" s="28"/>
      <c r="N74" s="26"/>
    </row>
    <row r="75" spans="1:14">
      <c r="A75" s="26"/>
      <c r="B75" s="27"/>
      <c r="C75" s="26"/>
      <c r="D75" s="27"/>
      <c r="E75" s="26"/>
      <c r="F75" s="26"/>
      <c r="G75" s="28"/>
      <c r="H75" s="26"/>
      <c r="I75" s="26"/>
      <c r="J75" s="26"/>
      <c r="K75" s="34"/>
      <c r="L75" s="28"/>
      <c r="M75" s="28"/>
      <c r="N75" s="26"/>
    </row>
    <row r="76" spans="1:14">
      <c r="A76" s="26"/>
      <c r="B76" s="27"/>
      <c r="C76" s="26"/>
      <c r="D76" s="27"/>
      <c r="E76" s="26"/>
      <c r="F76" s="26"/>
      <c r="G76" s="28"/>
      <c r="H76" s="26"/>
      <c r="I76" s="26"/>
      <c r="J76" s="26"/>
      <c r="K76" s="34"/>
      <c r="L76" s="28"/>
      <c r="M76" s="28"/>
      <c r="N76" s="26"/>
    </row>
    <row r="77" spans="1:14">
      <c r="A77" s="26"/>
      <c r="B77" s="27"/>
      <c r="C77" s="26"/>
      <c r="D77" s="27"/>
      <c r="E77" s="26"/>
      <c r="F77" s="26"/>
      <c r="G77" s="28"/>
      <c r="H77" s="26"/>
      <c r="I77" s="26"/>
      <c r="J77" s="26"/>
      <c r="K77" s="34"/>
      <c r="L77" s="28"/>
      <c r="M77" s="28"/>
      <c r="N77" s="26"/>
    </row>
    <row r="78" spans="1:14">
      <c r="A78" s="26"/>
      <c r="B78" s="27"/>
      <c r="C78" s="26"/>
      <c r="D78" s="27"/>
      <c r="E78" s="26"/>
      <c r="F78" s="26"/>
      <c r="G78" s="28"/>
      <c r="H78" s="26"/>
      <c r="I78" s="26"/>
      <c r="J78" s="26"/>
      <c r="K78" s="34"/>
      <c r="L78" s="28"/>
      <c r="M78" s="28"/>
      <c r="N78" s="26"/>
    </row>
    <row r="79" spans="1:14">
      <c r="A79" s="26"/>
      <c r="B79" s="27"/>
      <c r="C79" s="26"/>
      <c r="D79" s="27"/>
      <c r="E79" s="26"/>
      <c r="F79" s="26"/>
      <c r="G79" s="28"/>
      <c r="H79" s="26"/>
      <c r="I79" s="26"/>
      <c r="J79" s="26"/>
      <c r="K79" s="34"/>
      <c r="L79" s="28"/>
      <c r="M79" s="28"/>
      <c r="N79" s="26"/>
    </row>
    <row r="80" spans="1:14">
      <c r="A80" s="26"/>
      <c r="B80" s="27"/>
      <c r="C80" s="26"/>
      <c r="D80" s="27"/>
      <c r="E80" s="26"/>
      <c r="F80" s="26"/>
      <c r="G80" s="28"/>
      <c r="H80" s="26"/>
      <c r="I80" s="26"/>
      <c r="J80" s="26"/>
      <c r="K80" s="34"/>
      <c r="L80" s="28"/>
      <c r="M80" s="28"/>
      <c r="N80" s="26"/>
    </row>
    <row r="81" spans="1:14">
      <c r="A81" s="26"/>
      <c r="B81" s="27"/>
      <c r="C81" s="26"/>
      <c r="D81" s="27"/>
      <c r="E81" s="26"/>
      <c r="F81" s="26"/>
      <c r="G81" s="28"/>
      <c r="H81" s="26"/>
      <c r="I81" s="26"/>
      <c r="J81" s="26"/>
      <c r="K81" s="34"/>
      <c r="L81" s="28"/>
      <c r="M81" s="28"/>
      <c r="N81" s="26"/>
    </row>
    <row r="82" spans="1:14">
      <c r="A82" s="26"/>
      <c r="B82" s="27"/>
      <c r="C82" s="26"/>
      <c r="D82" s="27"/>
      <c r="E82" s="26"/>
      <c r="F82" s="26"/>
      <c r="G82" s="28"/>
      <c r="H82" s="26"/>
      <c r="I82" s="26"/>
      <c r="J82" s="26"/>
      <c r="K82" s="34"/>
      <c r="L82" s="28"/>
      <c r="M82" s="28"/>
      <c r="N82" s="26"/>
    </row>
    <row r="83" spans="1:14">
      <c r="A83" s="26"/>
      <c r="B83" s="27"/>
      <c r="C83" s="26"/>
      <c r="D83" s="27"/>
      <c r="E83" s="26"/>
      <c r="F83" s="26"/>
      <c r="G83" s="28"/>
      <c r="H83" s="26"/>
      <c r="I83" s="26"/>
      <c r="J83" s="26"/>
      <c r="K83" s="34"/>
      <c r="L83" s="28"/>
      <c r="M83" s="28"/>
      <c r="N83" s="26"/>
    </row>
    <row r="84" spans="1:14">
      <c r="A84" s="26"/>
      <c r="B84" s="27"/>
      <c r="C84" s="26"/>
      <c r="D84" s="27"/>
      <c r="E84" s="26"/>
      <c r="F84" s="26"/>
      <c r="G84" s="28"/>
      <c r="H84" s="26"/>
      <c r="I84" s="26"/>
      <c r="J84" s="26"/>
      <c r="K84" s="34"/>
      <c r="L84" s="28"/>
      <c r="M84" s="28"/>
      <c r="N84" s="26"/>
    </row>
    <row r="85" spans="1:14">
      <c r="A85" s="26"/>
      <c r="B85" s="27"/>
      <c r="C85" s="26"/>
      <c r="D85" s="27"/>
      <c r="E85" s="26"/>
      <c r="F85" s="26"/>
      <c r="G85" s="28"/>
      <c r="H85" s="26"/>
      <c r="I85" s="26"/>
      <c r="J85" s="26"/>
      <c r="K85" s="34"/>
      <c r="L85" s="28"/>
      <c r="M85" s="28"/>
      <c r="N85" s="26"/>
    </row>
    <row r="86" spans="1:14">
      <c r="A86" s="26"/>
      <c r="B86" s="27"/>
      <c r="C86" s="26"/>
      <c r="D86" s="27"/>
      <c r="E86" s="26"/>
      <c r="F86" s="26"/>
      <c r="G86" s="28"/>
      <c r="H86" s="26"/>
      <c r="I86" s="26"/>
      <c r="J86" s="26"/>
      <c r="K86" s="34"/>
      <c r="L86" s="28"/>
      <c r="M86" s="28"/>
      <c r="N86" s="26"/>
    </row>
    <row r="87" spans="1:14">
      <c r="A87" s="26"/>
      <c r="B87" s="27"/>
      <c r="C87" s="26"/>
      <c r="D87" s="27"/>
      <c r="E87" s="26"/>
      <c r="F87" s="26"/>
      <c r="G87" s="28"/>
      <c r="H87" s="26"/>
      <c r="I87" s="26"/>
      <c r="J87" s="26"/>
      <c r="K87" s="34"/>
      <c r="L87" s="28"/>
      <c r="M87" s="28"/>
      <c r="N87" s="26"/>
    </row>
    <row r="88" spans="1:14">
      <c r="A88" s="26"/>
      <c r="B88" s="27"/>
      <c r="C88" s="26"/>
      <c r="D88" s="27"/>
      <c r="E88" s="26"/>
      <c r="F88" s="26"/>
      <c r="G88" s="28"/>
      <c r="H88" s="26"/>
      <c r="I88" s="26"/>
      <c r="J88" s="26"/>
      <c r="K88" s="34"/>
      <c r="L88" s="28"/>
      <c r="M88" s="28"/>
      <c r="N88" s="26"/>
    </row>
    <row r="89" spans="1:14">
      <c r="A89" s="26"/>
      <c r="B89" s="27"/>
      <c r="C89" s="26"/>
      <c r="D89" s="27"/>
      <c r="E89" s="26"/>
      <c r="F89" s="26"/>
      <c r="G89" s="28"/>
      <c r="H89" s="26"/>
      <c r="I89" s="26"/>
      <c r="J89" s="26"/>
      <c r="K89" s="34"/>
      <c r="L89" s="28"/>
      <c r="M89" s="28"/>
      <c r="N89" s="26"/>
    </row>
    <row r="90" spans="1:14">
      <c r="A90" s="26"/>
      <c r="B90" s="27"/>
      <c r="C90" s="26"/>
      <c r="D90" s="27"/>
      <c r="E90" s="26"/>
      <c r="F90" s="26"/>
      <c r="G90" s="28"/>
      <c r="H90" s="26"/>
      <c r="I90" s="26"/>
      <c r="J90" s="26"/>
      <c r="K90" s="34"/>
      <c r="L90" s="28"/>
      <c r="M90" s="28"/>
      <c r="N90" s="26"/>
    </row>
    <row r="91" spans="1:14">
      <c r="A91" s="26"/>
      <c r="B91" s="27"/>
      <c r="C91" s="26"/>
      <c r="D91" s="27"/>
      <c r="E91" s="26"/>
      <c r="F91" s="26"/>
      <c r="G91" s="28"/>
      <c r="H91" s="26"/>
      <c r="I91" s="26"/>
      <c r="J91" s="26"/>
      <c r="K91" s="34"/>
      <c r="L91" s="28"/>
      <c r="M91" s="28"/>
      <c r="N91" s="26"/>
    </row>
    <row r="92" spans="1:14">
      <c r="A92" s="26"/>
      <c r="B92" s="27"/>
      <c r="C92" s="26"/>
      <c r="D92" s="27"/>
      <c r="E92" s="26"/>
      <c r="F92" s="26"/>
      <c r="G92" s="28"/>
      <c r="H92" s="26"/>
      <c r="I92" s="26"/>
      <c r="J92" s="26"/>
      <c r="K92" s="34"/>
      <c r="L92" s="28"/>
      <c r="M92" s="28"/>
      <c r="N92" s="26"/>
    </row>
    <row r="93" spans="1:14">
      <c r="A93" s="26"/>
      <c r="B93" s="27"/>
      <c r="C93" s="26"/>
      <c r="D93" s="27"/>
      <c r="E93" s="26"/>
      <c r="F93" s="26"/>
      <c r="G93" s="28"/>
      <c r="H93" s="26"/>
      <c r="I93" s="26"/>
      <c r="J93" s="26"/>
      <c r="K93" s="34"/>
      <c r="L93" s="28"/>
      <c r="M93" s="28"/>
      <c r="N93" s="26"/>
    </row>
    <row r="94" spans="1:14">
      <c r="A94" s="26"/>
      <c r="B94" s="27"/>
      <c r="C94" s="26"/>
      <c r="D94" s="27"/>
      <c r="E94" s="26"/>
      <c r="F94" s="26"/>
      <c r="G94" s="28"/>
      <c r="H94" s="26"/>
      <c r="I94" s="26"/>
      <c r="J94" s="26"/>
      <c r="K94" s="34"/>
      <c r="L94" s="28"/>
      <c r="M94" s="28"/>
      <c r="N94" s="26"/>
    </row>
    <row r="95" spans="1:14">
      <c r="A95" s="26"/>
      <c r="B95" s="27"/>
      <c r="C95" s="26"/>
      <c r="D95" s="27"/>
      <c r="E95" s="26"/>
      <c r="F95" s="26"/>
      <c r="G95" s="28"/>
      <c r="H95" s="26"/>
      <c r="I95" s="26"/>
      <c r="J95" s="26"/>
      <c r="K95" s="34"/>
      <c r="L95" s="28"/>
      <c r="M95" s="28"/>
      <c r="N95" s="26"/>
    </row>
    <row r="96" spans="1:14">
      <c r="A96" s="26"/>
      <c r="B96" s="27"/>
      <c r="C96" s="26"/>
      <c r="D96" s="27"/>
      <c r="E96" s="26"/>
      <c r="F96" s="26"/>
      <c r="G96" s="28"/>
      <c r="H96" s="26"/>
      <c r="I96" s="26"/>
      <c r="J96" s="26"/>
      <c r="K96" s="34"/>
      <c r="L96" s="28"/>
      <c r="M96" s="28"/>
      <c r="N96" s="26"/>
    </row>
    <row r="97" spans="1:14">
      <c r="A97" s="26"/>
      <c r="B97" s="27"/>
      <c r="C97" s="26"/>
      <c r="D97" s="27"/>
      <c r="E97" s="26"/>
      <c r="F97" s="26"/>
      <c r="G97" s="28"/>
      <c r="H97" s="26"/>
      <c r="I97" s="26"/>
      <c r="J97" s="26"/>
      <c r="K97" s="34"/>
      <c r="L97" s="28"/>
      <c r="M97" s="28"/>
      <c r="N97" s="26"/>
    </row>
    <row r="98" spans="1:14">
      <c r="A98" s="26"/>
      <c r="B98" s="27"/>
      <c r="C98" s="26"/>
      <c r="D98" s="27"/>
      <c r="E98" s="26"/>
      <c r="F98" s="26"/>
      <c r="G98" s="28"/>
      <c r="H98" s="26"/>
      <c r="I98" s="26"/>
      <c r="J98" s="26"/>
      <c r="K98" s="34"/>
      <c r="L98" s="28"/>
      <c r="M98" s="28"/>
      <c r="N98" s="26"/>
    </row>
    <row r="99" spans="1:14">
      <c r="A99" s="26"/>
      <c r="B99" s="27"/>
      <c r="C99" s="26"/>
      <c r="D99" s="27"/>
      <c r="E99" s="26"/>
      <c r="F99" s="26"/>
      <c r="G99" s="28"/>
      <c r="H99" s="26"/>
      <c r="I99" s="26"/>
      <c r="J99" s="26"/>
      <c r="K99" s="34"/>
      <c r="L99" s="28"/>
      <c r="M99" s="28"/>
      <c r="N99" s="26"/>
    </row>
    <row r="100" spans="1:14">
      <c r="A100" s="26"/>
      <c r="B100" s="27"/>
      <c r="C100" s="26"/>
      <c r="D100" s="27"/>
      <c r="E100" s="26"/>
      <c r="F100" s="26"/>
      <c r="G100" s="28"/>
      <c r="H100" s="26"/>
      <c r="I100" s="26"/>
      <c r="J100" s="26"/>
      <c r="K100" s="34"/>
      <c r="L100" s="28"/>
      <c r="M100" s="28"/>
      <c r="N100" s="26"/>
    </row>
    <row r="101" spans="1:14">
      <c r="A101" s="26"/>
      <c r="B101" s="27"/>
      <c r="C101" s="26"/>
      <c r="D101" s="27"/>
      <c r="E101" s="26"/>
      <c r="F101" s="26"/>
      <c r="G101" s="28"/>
      <c r="H101" s="26"/>
      <c r="I101" s="26"/>
      <c r="J101" s="26"/>
      <c r="K101" s="34"/>
      <c r="L101" s="28"/>
      <c r="M101" s="28"/>
      <c r="N101" s="26"/>
    </row>
    <row r="102" spans="1:14">
      <c r="A102" s="26"/>
      <c r="B102" s="27"/>
      <c r="C102" s="26"/>
      <c r="D102" s="27"/>
      <c r="E102" s="26"/>
      <c r="F102" s="26"/>
      <c r="G102" s="28"/>
      <c r="H102" s="26"/>
      <c r="I102" s="26"/>
      <c r="J102" s="26"/>
      <c r="K102" s="34"/>
      <c r="L102" s="28"/>
      <c r="M102" s="28"/>
      <c r="N102" s="26"/>
    </row>
    <row r="103" spans="1:14">
      <c r="A103" s="26"/>
      <c r="B103" s="27"/>
      <c r="C103" s="26"/>
      <c r="D103" s="27"/>
      <c r="E103" s="26"/>
      <c r="F103" s="26"/>
      <c r="G103" s="28"/>
      <c r="H103" s="26"/>
      <c r="I103" s="26"/>
      <c r="J103" s="26"/>
      <c r="K103" s="34"/>
      <c r="L103" s="28"/>
      <c r="M103" s="28"/>
      <c r="N103" s="26"/>
    </row>
    <row r="104" spans="1:14">
      <c r="A104" s="26"/>
      <c r="B104" s="27"/>
      <c r="C104" s="26"/>
      <c r="D104" s="27"/>
      <c r="E104" s="26"/>
      <c r="F104" s="26"/>
      <c r="G104" s="28"/>
      <c r="H104" s="26"/>
      <c r="I104" s="26"/>
      <c r="J104" s="26"/>
      <c r="K104" s="34"/>
      <c r="L104" s="28"/>
      <c r="M104" s="28"/>
      <c r="N104" s="26"/>
    </row>
    <row r="105" spans="1:14">
      <c r="A105" s="26"/>
      <c r="B105" s="27"/>
      <c r="C105" s="26"/>
      <c r="D105" s="27"/>
      <c r="E105" s="26"/>
      <c r="F105" s="26"/>
      <c r="G105" s="28"/>
      <c r="H105" s="26"/>
      <c r="I105" s="26"/>
      <c r="J105" s="26"/>
      <c r="K105" s="34"/>
      <c r="L105" s="28"/>
      <c r="M105" s="28"/>
      <c r="N105" s="26"/>
    </row>
    <row r="106" spans="1:14">
      <c r="A106" s="26"/>
      <c r="B106" s="27"/>
      <c r="C106" s="26"/>
      <c r="D106" s="27"/>
      <c r="E106" s="26"/>
      <c r="F106" s="26"/>
      <c r="G106" s="28"/>
      <c r="H106" s="26"/>
      <c r="I106" s="26"/>
      <c r="J106" s="26"/>
      <c r="K106" s="34"/>
      <c r="L106" s="28"/>
      <c r="M106" s="28"/>
      <c r="N106" s="26"/>
    </row>
    <row r="107" spans="1:14">
      <c r="A107" s="37"/>
      <c r="B107" s="38"/>
      <c r="C107" s="37"/>
      <c r="D107" s="38"/>
      <c r="E107" s="37"/>
      <c r="F107" s="37"/>
      <c r="G107" s="39"/>
      <c r="H107" s="37"/>
      <c r="I107" s="37"/>
      <c r="J107" s="37"/>
      <c r="K107" s="40"/>
      <c r="L107" s="39"/>
      <c r="M107" s="39"/>
      <c r="N107" s="37"/>
    </row>
    <row r="108" spans="1:14">
      <c r="A108" s="26"/>
      <c r="B108" s="27"/>
      <c r="C108" s="26"/>
      <c r="D108" s="27"/>
      <c r="E108" s="26"/>
      <c r="F108" s="26"/>
      <c r="G108" s="28"/>
      <c r="H108" s="26"/>
      <c r="I108" s="26"/>
      <c r="J108" s="26"/>
      <c r="K108" s="34"/>
      <c r="L108" s="28"/>
      <c r="M108" s="28"/>
      <c r="N108" s="26"/>
    </row>
    <row r="109" spans="1:14">
      <c r="A109" s="26"/>
      <c r="B109" s="27"/>
      <c r="C109" s="26"/>
      <c r="D109" s="27"/>
      <c r="E109" s="26"/>
      <c r="F109" s="26"/>
      <c r="G109" s="28"/>
      <c r="H109" s="26"/>
      <c r="I109" s="26"/>
      <c r="J109" s="26"/>
      <c r="K109" s="34"/>
      <c r="L109" s="28"/>
      <c r="M109" s="28"/>
      <c r="N109" s="26"/>
    </row>
    <row r="110" spans="1:14">
      <c r="A110" s="37"/>
      <c r="B110" s="38"/>
      <c r="C110" s="37"/>
      <c r="D110" s="38"/>
      <c r="E110" s="37"/>
      <c r="F110" s="37"/>
      <c r="G110" s="39"/>
      <c r="H110" s="37"/>
      <c r="I110" s="37"/>
      <c r="J110" s="37"/>
      <c r="K110" s="40"/>
      <c r="L110" s="39"/>
      <c r="M110" s="39"/>
      <c r="N110" s="37"/>
    </row>
    <row r="111" spans="1:14">
      <c r="A111" s="37"/>
      <c r="B111" s="38"/>
      <c r="C111" s="37"/>
      <c r="D111" s="38"/>
      <c r="E111" s="37"/>
      <c r="F111" s="37"/>
      <c r="G111" s="39"/>
      <c r="H111" s="37"/>
      <c r="I111" s="37"/>
      <c r="J111" s="37"/>
      <c r="K111" s="40"/>
      <c r="L111" s="39"/>
      <c r="M111" s="39"/>
      <c r="N111" s="37"/>
    </row>
    <row r="112" spans="1:14">
      <c r="A112" s="26"/>
      <c r="B112" s="27"/>
      <c r="C112" s="26"/>
      <c r="D112" s="27"/>
      <c r="E112" s="26"/>
      <c r="F112" s="26"/>
      <c r="G112" s="28"/>
      <c r="H112" s="26"/>
      <c r="I112" s="26"/>
      <c r="J112" s="26"/>
      <c r="K112" s="34"/>
      <c r="L112" s="28"/>
      <c r="M112" s="28"/>
      <c r="N112" s="26"/>
    </row>
    <row r="113" spans="1:14">
      <c r="A113" s="26"/>
      <c r="B113" s="27"/>
      <c r="C113" s="26"/>
      <c r="D113" s="27"/>
      <c r="E113" s="26"/>
      <c r="F113" s="26"/>
      <c r="G113" s="28"/>
      <c r="H113" s="26"/>
      <c r="I113" s="26"/>
      <c r="J113" s="26"/>
      <c r="K113" s="34"/>
      <c r="L113" s="28"/>
      <c r="M113" s="28"/>
      <c r="N113" s="26"/>
    </row>
    <row r="114" spans="1:14">
      <c r="A114" s="37"/>
      <c r="B114" s="38"/>
      <c r="C114" s="37"/>
      <c r="D114" s="38"/>
      <c r="E114" s="37"/>
      <c r="F114" s="37"/>
      <c r="G114" s="39"/>
      <c r="H114" s="37"/>
      <c r="I114" s="37"/>
      <c r="J114" s="37"/>
      <c r="K114" s="40"/>
      <c r="L114" s="39"/>
      <c r="M114" s="39"/>
      <c r="N114" s="37"/>
    </row>
    <row r="115" spans="1:14">
      <c r="A115" s="26"/>
      <c r="B115" s="27"/>
      <c r="C115" s="26"/>
      <c r="D115" s="27"/>
      <c r="E115" s="26"/>
      <c r="F115" s="26"/>
      <c r="G115" s="28"/>
      <c r="H115" s="26"/>
      <c r="I115" s="26"/>
      <c r="J115" s="26"/>
      <c r="K115" s="34"/>
      <c r="L115" s="28"/>
      <c r="M115" s="28"/>
      <c r="N115" s="26"/>
    </row>
    <row r="116" spans="1:14">
      <c r="A116" s="37"/>
      <c r="B116" s="38"/>
      <c r="C116" s="37"/>
      <c r="D116" s="38"/>
      <c r="E116" s="37"/>
      <c r="F116" s="37"/>
      <c r="G116" s="39"/>
      <c r="H116" s="37"/>
      <c r="I116" s="37"/>
      <c r="J116" s="37"/>
      <c r="K116" s="40"/>
      <c r="L116" s="39"/>
      <c r="M116" s="39"/>
      <c r="N116" s="37"/>
    </row>
    <row r="117" spans="1:14">
      <c r="A117" s="26"/>
      <c r="B117" s="27"/>
      <c r="C117" s="26"/>
      <c r="D117" s="27"/>
      <c r="E117" s="26"/>
      <c r="F117" s="26"/>
      <c r="G117" s="28"/>
      <c r="H117" s="26"/>
      <c r="I117" s="26"/>
      <c r="J117" s="26"/>
      <c r="K117" s="34"/>
      <c r="L117" s="28"/>
      <c r="M117" s="28"/>
      <c r="N117" s="26"/>
    </row>
    <row r="118" spans="1:14">
      <c r="A118" s="26"/>
      <c r="B118" s="27"/>
      <c r="C118" s="26"/>
      <c r="D118" s="27"/>
      <c r="E118" s="26"/>
      <c r="F118" s="26"/>
      <c r="G118" s="28"/>
      <c r="H118" s="26"/>
      <c r="I118" s="26"/>
      <c r="J118" s="26"/>
      <c r="K118" s="34"/>
      <c r="L118" s="28"/>
      <c r="M118" s="28"/>
      <c r="N118" s="26"/>
    </row>
    <row r="119" spans="1:14">
      <c r="A119" s="26"/>
      <c r="B119" s="27"/>
      <c r="C119" s="26"/>
      <c r="D119" s="27"/>
      <c r="E119" s="26"/>
      <c r="F119" s="26"/>
      <c r="G119" s="28"/>
      <c r="H119" s="26"/>
      <c r="I119" s="26"/>
      <c r="J119" s="26"/>
      <c r="K119" s="34"/>
      <c r="L119" s="28"/>
      <c r="M119" s="28"/>
      <c r="N119" s="26"/>
    </row>
    <row r="120" spans="1:14">
      <c r="A120" s="26"/>
      <c r="B120" s="27"/>
      <c r="C120" s="26"/>
      <c r="D120" s="27"/>
      <c r="E120" s="26"/>
      <c r="F120" s="26"/>
      <c r="G120" s="28"/>
      <c r="H120" s="26"/>
      <c r="I120" s="26"/>
      <c r="J120" s="26"/>
      <c r="K120" s="34"/>
      <c r="L120" s="28"/>
      <c r="M120" s="28"/>
      <c r="N120" s="26"/>
    </row>
    <row r="121" spans="1:14">
      <c r="A121" s="26"/>
      <c r="B121" s="27"/>
      <c r="C121" s="26"/>
      <c r="D121" s="27"/>
      <c r="E121" s="26"/>
      <c r="F121" s="26"/>
      <c r="G121" s="28"/>
      <c r="H121" s="26"/>
      <c r="I121" s="26"/>
      <c r="J121" s="26"/>
      <c r="K121" s="34"/>
      <c r="L121" s="28"/>
      <c r="M121" s="28"/>
      <c r="N121" s="26"/>
    </row>
    <row r="122" spans="1:14">
      <c r="A122" s="26"/>
      <c r="B122" s="27"/>
      <c r="C122" s="26"/>
      <c r="D122" s="27"/>
      <c r="E122" s="26"/>
      <c r="F122" s="26"/>
      <c r="G122" s="28"/>
      <c r="H122" s="26"/>
      <c r="I122" s="26"/>
      <c r="J122" s="26"/>
      <c r="K122" s="34"/>
      <c r="L122" s="28"/>
      <c r="M122" s="28"/>
      <c r="N122" s="26"/>
    </row>
    <row r="123" spans="1:14">
      <c r="A123" s="26"/>
      <c r="B123" s="27"/>
      <c r="C123" s="26"/>
      <c r="D123" s="27"/>
      <c r="E123" s="26"/>
      <c r="F123" s="26"/>
      <c r="G123" s="28"/>
      <c r="H123" s="26"/>
      <c r="I123" s="26"/>
      <c r="J123" s="26"/>
      <c r="K123" s="34"/>
      <c r="L123" s="28"/>
      <c r="M123" s="28"/>
      <c r="N123" s="26"/>
    </row>
    <row r="124" spans="1:14">
      <c r="A124" s="26"/>
      <c r="B124" s="27"/>
      <c r="C124" s="26"/>
      <c r="D124" s="27"/>
      <c r="E124" s="26"/>
      <c r="F124" s="26"/>
      <c r="G124" s="28"/>
      <c r="H124" s="26"/>
      <c r="I124" s="26"/>
      <c r="J124" s="26"/>
      <c r="K124" s="34"/>
      <c r="L124" s="28"/>
      <c r="M124" s="28"/>
      <c r="N124" s="26"/>
    </row>
    <row r="125" spans="1:14">
      <c r="A125" s="26"/>
      <c r="B125" s="27"/>
      <c r="C125" s="26"/>
      <c r="D125" s="27"/>
      <c r="E125" s="26"/>
      <c r="F125" s="26"/>
      <c r="G125" s="28"/>
      <c r="H125" s="26"/>
      <c r="I125" s="26"/>
      <c r="J125" s="26"/>
      <c r="K125" s="34"/>
      <c r="L125" s="28"/>
      <c r="M125" s="28"/>
      <c r="N125" s="26"/>
    </row>
    <row r="126" spans="1:14">
      <c r="A126" s="26"/>
      <c r="B126" s="27"/>
      <c r="C126" s="26"/>
      <c r="D126" s="27"/>
      <c r="E126" s="26"/>
      <c r="F126" s="26"/>
      <c r="G126" s="28"/>
      <c r="H126" s="26"/>
      <c r="I126" s="26"/>
      <c r="J126" s="26"/>
      <c r="K126" s="34"/>
      <c r="L126" s="28"/>
      <c r="M126" s="28"/>
      <c r="N126" s="26"/>
    </row>
    <row r="127" spans="1:14">
      <c r="A127" s="26"/>
      <c r="B127" s="27"/>
      <c r="C127" s="26"/>
      <c r="D127" s="27"/>
      <c r="E127" s="26"/>
      <c r="F127" s="26"/>
      <c r="G127" s="28"/>
      <c r="H127" s="26"/>
      <c r="I127" s="26"/>
      <c r="J127" s="26"/>
      <c r="K127" s="34"/>
      <c r="L127" s="28"/>
      <c r="M127" s="28"/>
      <c r="N127" s="26"/>
    </row>
    <row r="128" spans="1:14">
      <c r="A128" s="26"/>
      <c r="B128" s="27"/>
      <c r="C128" s="26"/>
      <c r="D128" s="27"/>
      <c r="E128" s="26"/>
      <c r="F128" s="26"/>
      <c r="G128" s="28"/>
      <c r="H128" s="26"/>
      <c r="I128" s="26"/>
      <c r="J128" s="26"/>
      <c r="K128" s="34"/>
      <c r="L128" s="28"/>
      <c r="M128" s="28"/>
      <c r="N128" s="26"/>
    </row>
    <row r="129" spans="1:14">
      <c r="A129" s="26"/>
      <c r="B129" s="27"/>
      <c r="C129" s="26"/>
      <c r="D129" s="27"/>
      <c r="E129" s="26"/>
      <c r="F129" s="26"/>
      <c r="G129" s="28"/>
      <c r="H129" s="26"/>
      <c r="I129" s="26"/>
      <c r="J129" s="26"/>
      <c r="K129" s="34"/>
      <c r="L129" s="28"/>
      <c r="M129" s="28"/>
      <c r="N129" s="26"/>
    </row>
    <row r="130" spans="1:14">
      <c r="A130" s="26"/>
      <c r="B130" s="27"/>
      <c r="C130" s="26"/>
      <c r="D130" s="27"/>
      <c r="E130" s="26"/>
      <c r="F130" s="26"/>
      <c r="G130" s="28"/>
      <c r="H130" s="26"/>
      <c r="I130" s="26"/>
      <c r="J130" s="26"/>
      <c r="K130" s="34"/>
      <c r="L130" s="28"/>
      <c r="M130" s="28"/>
      <c r="N130" s="26"/>
    </row>
    <row r="131" spans="1:14">
      <c r="A131" s="26"/>
      <c r="B131" s="27"/>
      <c r="C131" s="26"/>
      <c r="D131" s="27"/>
      <c r="E131" s="26"/>
      <c r="F131" s="26"/>
      <c r="G131" s="28"/>
      <c r="H131" s="26"/>
      <c r="I131" s="26"/>
      <c r="J131" s="26"/>
      <c r="K131" s="34"/>
      <c r="L131" s="28"/>
      <c r="M131" s="28"/>
      <c r="N131" s="26"/>
    </row>
    <row r="132" spans="1:14">
      <c r="A132" s="26"/>
      <c r="B132" s="27"/>
      <c r="C132" s="26"/>
      <c r="D132" s="27"/>
      <c r="E132" s="26"/>
      <c r="F132" s="26"/>
      <c r="G132" s="28"/>
      <c r="H132" s="26"/>
      <c r="I132" s="26"/>
      <c r="J132" s="26"/>
      <c r="K132" s="34"/>
      <c r="L132" s="28"/>
      <c r="M132" s="28"/>
      <c r="N132" s="26"/>
    </row>
    <row r="133" spans="1:14">
      <c r="A133" s="26"/>
      <c r="B133" s="27"/>
      <c r="C133" s="26"/>
      <c r="D133" s="27"/>
      <c r="E133" s="26"/>
      <c r="F133" s="26"/>
      <c r="G133" s="28"/>
      <c r="H133" s="26"/>
      <c r="I133" s="26"/>
      <c r="J133" s="26"/>
      <c r="K133" s="34"/>
      <c r="L133" s="28"/>
      <c r="M133" s="28"/>
      <c r="N133" s="26"/>
    </row>
    <row r="134" spans="1:14">
      <c r="A134" s="26"/>
      <c r="B134" s="27"/>
      <c r="C134" s="26"/>
      <c r="D134" s="27"/>
      <c r="E134" s="26"/>
      <c r="F134" s="26"/>
      <c r="G134" s="28"/>
      <c r="H134" s="26"/>
      <c r="I134" s="26"/>
      <c r="J134" s="26"/>
      <c r="K134" s="34"/>
      <c r="L134" s="28"/>
      <c r="M134" s="28"/>
      <c r="N134" s="26"/>
    </row>
    <row r="135" spans="1:14">
      <c r="A135" s="26"/>
      <c r="B135" s="27"/>
      <c r="C135" s="26"/>
      <c r="D135" s="27"/>
      <c r="E135" s="26"/>
      <c r="F135" s="26"/>
      <c r="G135" s="28"/>
      <c r="H135" s="26"/>
      <c r="I135" s="26"/>
      <c r="J135" s="26"/>
      <c r="K135" s="34"/>
      <c r="L135" s="28"/>
      <c r="M135" s="28"/>
      <c r="N135" s="26"/>
    </row>
    <row r="136" spans="1:14">
      <c r="A136" s="26"/>
      <c r="B136" s="27"/>
      <c r="C136" s="26"/>
      <c r="D136" s="27"/>
      <c r="E136" s="26"/>
      <c r="F136" s="26"/>
      <c r="G136" s="28"/>
      <c r="H136" s="26"/>
      <c r="I136" s="26"/>
      <c r="J136" s="26"/>
      <c r="K136" s="34"/>
      <c r="L136" s="28"/>
      <c r="M136" s="28"/>
      <c r="N136" s="26"/>
    </row>
    <row r="137" spans="1:14">
      <c r="A137" s="26"/>
      <c r="B137" s="27"/>
      <c r="C137" s="26"/>
      <c r="D137" s="27"/>
      <c r="E137" s="26"/>
      <c r="F137" s="26"/>
      <c r="G137" s="28"/>
      <c r="H137" s="26"/>
      <c r="I137" s="26"/>
      <c r="J137" s="26"/>
      <c r="K137" s="34"/>
      <c r="L137" s="28"/>
      <c r="M137" s="28"/>
      <c r="N137" s="26"/>
    </row>
    <row r="138" spans="1:14">
      <c r="A138" s="26"/>
      <c r="B138" s="27"/>
      <c r="C138" s="26"/>
      <c r="D138" s="27"/>
      <c r="E138" s="26"/>
      <c r="F138" s="26"/>
      <c r="G138" s="28"/>
      <c r="H138" s="26"/>
      <c r="I138" s="26"/>
      <c r="J138" s="26"/>
      <c r="K138" s="34"/>
      <c r="L138" s="28"/>
      <c r="M138" s="28"/>
      <c r="N138" s="26"/>
    </row>
    <row r="139" spans="1:14">
      <c r="A139" s="26"/>
      <c r="B139" s="27"/>
      <c r="C139" s="26"/>
      <c r="D139" s="27"/>
      <c r="E139" s="26"/>
      <c r="F139" s="26"/>
      <c r="G139" s="28"/>
      <c r="H139" s="26"/>
      <c r="I139" s="26"/>
      <c r="J139" s="26"/>
      <c r="K139" s="34"/>
      <c r="L139" s="28"/>
      <c r="M139" s="28"/>
      <c r="N139" s="26"/>
    </row>
    <row r="140" spans="1:14">
      <c r="A140" s="26"/>
      <c r="B140" s="27"/>
      <c r="C140" s="26"/>
      <c r="D140" s="27"/>
      <c r="E140" s="26"/>
      <c r="F140" s="26"/>
      <c r="G140" s="28"/>
      <c r="H140" s="26"/>
      <c r="I140" s="26"/>
      <c r="J140" s="26"/>
      <c r="K140" s="34"/>
      <c r="L140" s="28"/>
      <c r="M140" s="28"/>
      <c r="N140" s="26"/>
    </row>
    <row r="141" spans="1:14">
      <c r="A141" s="26"/>
      <c r="B141" s="27"/>
      <c r="C141" s="26"/>
      <c r="D141" s="27"/>
      <c r="E141" s="26"/>
      <c r="F141" s="26"/>
      <c r="G141" s="28"/>
      <c r="H141" s="26"/>
      <c r="I141" s="26"/>
      <c r="J141" s="26"/>
      <c r="K141" s="34"/>
      <c r="L141" s="28"/>
      <c r="M141" s="28"/>
      <c r="N141" s="26"/>
    </row>
    <row r="142" spans="1:14">
      <c r="A142" s="26"/>
      <c r="B142" s="27"/>
      <c r="C142" s="26"/>
      <c r="D142" s="27"/>
      <c r="E142" s="26"/>
      <c r="F142" s="26"/>
      <c r="G142" s="28"/>
      <c r="H142" s="26"/>
      <c r="I142" s="26"/>
      <c r="J142" s="26"/>
      <c r="K142" s="34"/>
      <c r="L142" s="28"/>
      <c r="M142" s="28"/>
      <c r="N142" s="26"/>
    </row>
    <row r="143" spans="1:14">
      <c r="A143" s="26"/>
      <c r="B143" s="27"/>
      <c r="C143" s="26"/>
      <c r="D143" s="27"/>
      <c r="E143" s="26"/>
      <c r="F143" s="26"/>
      <c r="G143" s="28"/>
      <c r="H143" s="26"/>
      <c r="I143" s="26"/>
      <c r="J143" s="26"/>
      <c r="K143" s="34"/>
      <c r="L143" s="28"/>
      <c r="M143" s="28"/>
      <c r="N143" s="26"/>
    </row>
    <row r="144" spans="1:14">
      <c r="A144" s="26"/>
      <c r="B144" s="27"/>
      <c r="C144" s="26"/>
      <c r="D144" s="27"/>
      <c r="E144" s="26"/>
      <c r="F144" s="26"/>
      <c r="G144" s="28"/>
      <c r="H144" s="26"/>
      <c r="I144" s="26"/>
      <c r="J144" s="26"/>
      <c r="K144" s="34"/>
      <c r="L144" s="28"/>
      <c r="M144" s="28"/>
      <c r="N144" s="26"/>
    </row>
    <row r="145" spans="1:14">
      <c r="A145" s="26"/>
      <c r="B145" s="27"/>
      <c r="C145" s="26"/>
      <c r="D145" s="27"/>
      <c r="E145" s="26"/>
      <c r="F145" s="26"/>
      <c r="G145" s="28"/>
      <c r="H145" s="26"/>
      <c r="I145" s="26"/>
      <c r="J145" s="26"/>
      <c r="K145" s="34"/>
      <c r="L145" s="28"/>
      <c r="M145" s="28"/>
      <c r="N145" s="26"/>
    </row>
    <row r="146" spans="1:14">
      <c r="A146" s="26"/>
      <c r="B146" s="27"/>
      <c r="C146" s="26"/>
      <c r="D146" s="27"/>
      <c r="E146" s="26"/>
      <c r="F146" s="26"/>
      <c r="G146" s="28"/>
      <c r="H146" s="26"/>
      <c r="I146" s="26"/>
      <c r="J146" s="26"/>
      <c r="K146" s="34"/>
      <c r="L146" s="28"/>
      <c r="M146" s="28"/>
      <c r="N146" s="26"/>
    </row>
    <row r="147" spans="1:14">
      <c r="A147" s="26"/>
      <c r="B147" s="27"/>
      <c r="C147" s="26"/>
      <c r="D147" s="27"/>
      <c r="E147" s="26"/>
      <c r="F147" s="26"/>
      <c r="G147" s="28"/>
      <c r="H147" s="26"/>
      <c r="I147" s="26"/>
      <c r="J147" s="26"/>
      <c r="K147" s="34"/>
      <c r="L147" s="28"/>
      <c r="M147" s="28"/>
      <c r="N147" s="26"/>
    </row>
    <row r="148" spans="1:14">
      <c r="A148" s="26"/>
      <c r="B148" s="27"/>
      <c r="C148" s="26"/>
      <c r="D148" s="27"/>
      <c r="E148" s="26"/>
      <c r="F148" s="26"/>
      <c r="G148" s="28"/>
      <c r="H148" s="26"/>
      <c r="I148" s="26"/>
      <c r="J148" s="26"/>
      <c r="K148" s="34"/>
      <c r="L148" s="28"/>
      <c r="M148" s="28"/>
      <c r="N148" s="26"/>
    </row>
    <row r="149" spans="1:14">
      <c r="A149" s="26"/>
      <c r="B149" s="27"/>
      <c r="C149" s="26"/>
      <c r="D149" s="27"/>
      <c r="E149" s="26"/>
      <c r="F149" s="26"/>
      <c r="G149" s="28"/>
      <c r="H149" s="26"/>
      <c r="I149" s="26"/>
      <c r="J149" s="26"/>
      <c r="K149" s="34"/>
      <c r="L149" s="28"/>
      <c r="M149" s="28"/>
      <c r="N149" s="26"/>
    </row>
    <row r="150" spans="1:14">
      <c r="A150" s="26"/>
      <c r="B150" s="27"/>
      <c r="C150" s="26"/>
      <c r="D150" s="27"/>
      <c r="E150" s="26"/>
      <c r="F150" s="26"/>
      <c r="G150" s="28"/>
      <c r="H150" s="26"/>
      <c r="I150" s="26"/>
      <c r="J150" s="26"/>
      <c r="K150" s="34"/>
      <c r="L150" s="28"/>
      <c r="M150" s="28"/>
      <c r="N150" s="26"/>
    </row>
    <row r="151" spans="1:14">
      <c r="A151" s="26"/>
      <c r="B151" s="27"/>
      <c r="C151" s="26"/>
      <c r="D151" s="27"/>
      <c r="E151" s="26"/>
      <c r="F151" s="26"/>
      <c r="G151" s="28"/>
      <c r="H151" s="26"/>
      <c r="I151" s="26"/>
      <c r="J151" s="26"/>
      <c r="K151" s="34"/>
      <c r="L151" s="28"/>
      <c r="M151" s="28"/>
      <c r="N151" s="26"/>
    </row>
    <row r="152" spans="1:14">
      <c r="A152" s="26"/>
      <c r="B152" s="27"/>
      <c r="C152" s="26"/>
      <c r="D152" s="27"/>
      <c r="E152" s="26"/>
      <c r="F152" s="26"/>
      <c r="G152" s="28"/>
      <c r="H152" s="26"/>
      <c r="I152" s="26"/>
      <c r="J152" s="26"/>
      <c r="K152" s="34"/>
      <c r="L152" s="28"/>
      <c r="M152" s="28"/>
      <c r="N152" s="26"/>
    </row>
    <row r="153" spans="1:14">
      <c r="A153" s="26"/>
      <c r="B153" s="27"/>
      <c r="C153" s="26"/>
      <c r="D153" s="27"/>
      <c r="E153" s="26"/>
      <c r="F153" s="26"/>
      <c r="G153" s="28"/>
      <c r="H153" s="26"/>
      <c r="I153" s="26"/>
      <c r="J153" s="26"/>
      <c r="K153" s="34"/>
      <c r="L153" s="28"/>
      <c r="M153" s="28"/>
      <c r="N153" s="26"/>
    </row>
    <row r="154" spans="1:14">
      <c r="A154" s="26"/>
      <c r="B154" s="27"/>
      <c r="C154" s="26"/>
      <c r="D154" s="27"/>
      <c r="E154" s="26"/>
      <c r="F154" s="26"/>
      <c r="G154" s="28"/>
      <c r="H154" s="26"/>
      <c r="I154" s="26"/>
      <c r="J154" s="26"/>
      <c r="K154" s="34"/>
      <c r="L154" s="28"/>
      <c r="M154" s="28"/>
      <c r="N154" s="26"/>
    </row>
    <row r="155" spans="1:14">
      <c r="A155" s="26"/>
      <c r="B155" s="27"/>
      <c r="C155" s="26"/>
      <c r="D155" s="27"/>
      <c r="E155" s="26"/>
      <c r="F155" s="26"/>
      <c r="G155" s="28"/>
      <c r="H155" s="26"/>
      <c r="I155" s="26"/>
      <c r="J155" s="26"/>
      <c r="K155" s="34"/>
      <c r="L155" s="28"/>
      <c r="M155" s="28"/>
      <c r="N155" s="26"/>
    </row>
    <row r="156" spans="1:14">
      <c r="A156" s="26"/>
      <c r="B156" s="27"/>
      <c r="C156" s="26"/>
      <c r="D156" s="27"/>
      <c r="E156" s="26"/>
      <c r="F156" s="26"/>
      <c r="G156" s="28"/>
      <c r="H156" s="26"/>
      <c r="I156" s="26"/>
      <c r="J156" s="26"/>
      <c r="K156" s="34"/>
      <c r="L156" s="28"/>
      <c r="M156" s="28"/>
      <c r="N156" s="26"/>
    </row>
    <row r="157" spans="1:14">
      <c r="A157" s="26"/>
      <c r="B157" s="27"/>
      <c r="C157" s="26"/>
      <c r="D157" s="27"/>
      <c r="E157" s="26"/>
      <c r="F157" s="26"/>
      <c r="G157" s="28"/>
      <c r="H157" s="26"/>
      <c r="I157" s="26"/>
      <c r="J157" s="26"/>
      <c r="K157" s="34"/>
      <c r="L157" s="28"/>
      <c r="M157" s="28"/>
      <c r="N157" s="26"/>
    </row>
    <row r="158" spans="1:14">
      <c r="A158" s="26"/>
      <c r="B158" s="27"/>
      <c r="C158" s="26"/>
      <c r="D158" s="27"/>
      <c r="E158" s="26"/>
      <c r="F158" s="26"/>
      <c r="G158" s="28"/>
      <c r="H158" s="26"/>
      <c r="I158" s="26"/>
      <c r="J158" s="26"/>
      <c r="K158" s="34"/>
      <c r="L158" s="28"/>
      <c r="M158" s="28"/>
      <c r="N158" s="26"/>
    </row>
    <row r="159" spans="1:14">
      <c r="A159" s="26"/>
      <c r="B159" s="27"/>
      <c r="C159" s="26"/>
      <c r="D159" s="27"/>
      <c r="E159" s="26"/>
      <c r="F159" s="26"/>
      <c r="G159" s="28"/>
      <c r="H159" s="26"/>
      <c r="I159" s="26"/>
      <c r="J159" s="26"/>
      <c r="K159" s="34"/>
      <c r="L159" s="28"/>
      <c r="M159" s="28"/>
      <c r="N159" s="26"/>
    </row>
    <row r="160" spans="1:14">
      <c r="A160" s="26"/>
      <c r="B160" s="27"/>
      <c r="C160" s="26"/>
      <c r="D160" s="27"/>
      <c r="E160" s="26"/>
      <c r="F160" s="26"/>
      <c r="G160" s="28"/>
      <c r="H160" s="26"/>
      <c r="I160" s="26"/>
      <c r="J160" s="26"/>
      <c r="K160" s="34"/>
      <c r="L160" s="28"/>
      <c r="M160" s="28"/>
      <c r="N160" s="26"/>
    </row>
    <row r="161" spans="1:14">
      <c r="A161" s="26"/>
      <c r="B161" s="27"/>
      <c r="C161" s="26"/>
      <c r="D161" s="27"/>
      <c r="E161" s="26"/>
      <c r="F161" s="26"/>
      <c r="G161" s="28"/>
      <c r="H161" s="26"/>
      <c r="I161" s="26"/>
      <c r="J161" s="26"/>
      <c r="K161" s="34"/>
      <c r="L161" s="28"/>
      <c r="M161" s="28"/>
      <c r="N161" s="26"/>
    </row>
    <row r="162" spans="1:14">
      <c r="A162" s="26"/>
      <c r="B162" s="27"/>
      <c r="C162" s="26"/>
      <c r="D162" s="27"/>
      <c r="E162" s="26"/>
      <c r="F162" s="26"/>
      <c r="G162" s="28"/>
      <c r="H162" s="26"/>
      <c r="I162" s="26"/>
      <c r="J162" s="26"/>
      <c r="K162" s="34"/>
      <c r="L162" s="28"/>
      <c r="M162" s="28"/>
      <c r="N162" s="26"/>
    </row>
    <row r="163" spans="1:14">
      <c r="A163" s="26"/>
      <c r="B163" s="27"/>
      <c r="C163" s="26"/>
      <c r="D163" s="27"/>
      <c r="E163" s="26"/>
      <c r="F163" s="26"/>
      <c r="G163" s="28"/>
      <c r="H163" s="26"/>
      <c r="I163" s="26"/>
      <c r="J163" s="26"/>
      <c r="K163" s="34"/>
      <c r="L163" s="28"/>
      <c r="M163" s="28"/>
      <c r="N163" s="26"/>
    </row>
    <row r="164" spans="1:14">
      <c r="A164" s="26"/>
      <c r="B164" s="27"/>
      <c r="C164" s="26"/>
      <c r="D164" s="27"/>
      <c r="E164" s="26"/>
      <c r="F164" s="26"/>
      <c r="G164" s="28"/>
      <c r="H164" s="26"/>
      <c r="I164" s="26"/>
      <c r="J164" s="26"/>
      <c r="K164" s="34"/>
      <c r="L164" s="28"/>
      <c r="M164" s="28"/>
      <c r="N164" s="26"/>
    </row>
    <row r="165" spans="1:14">
      <c r="A165" s="26"/>
      <c r="B165" s="27"/>
      <c r="C165" s="26"/>
      <c r="D165" s="27"/>
      <c r="E165" s="26"/>
      <c r="F165" s="26"/>
      <c r="G165" s="28"/>
      <c r="H165" s="26"/>
      <c r="I165" s="26"/>
      <c r="J165" s="26"/>
      <c r="K165" s="34"/>
      <c r="L165" s="28"/>
      <c r="M165" s="28"/>
      <c r="N165" s="26"/>
    </row>
    <row r="166" spans="1:14">
      <c r="A166" s="26"/>
      <c r="B166" s="27"/>
      <c r="C166" s="26"/>
      <c r="D166" s="27"/>
      <c r="E166" s="26"/>
      <c r="F166" s="26"/>
      <c r="G166" s="28"/>
      <c r="H166" s="26"/>
      <c r="I166" s="26"/>
      <c r="J166" s="26"/>
      <c r="K166" s="34"/>
      <c r="L166" s="28"/>
      <c r="M166" s="28"/>
      <c r="N166" s="26"/>
    </row>
    <row r="167" spans="1:14">
      <c r="A167" s="26"/>
      <c r="B167" s="27"/>
      <c r="C167" s="26"/>
      <c r="D167" s="27"/>
      <c r="E167" s="26"/>
      <c r="F167" s="26"/>
      <c r="G167" s="28"/>
      <c r="H167" s="26"/>
      <c r="I167" s="26"/>
      <c r="J167" s="26"/>
      <c r="K167" s="34"/>
      <c r="L167" s="28"/>
      <c r="M167" s="28"/>
      <c r="N167" s="26"/>
    </row>
    <row r="168" spans="1:14">
      <c r="A168" s="26"/>
      <c r="B168" s="27"/>
      <c r="C168" s="26"/>
      <c r="D168" s="27"/>
      <c r="E168" s="26"/>
      <c r="F168" s="26"/>
      <c r="G168" s="28"/>
      <c r="H168" s="26"/>
      <c r="I168" s="26"/>
      <c r="J168" s="26"/>
      <c r="K168" s="34"/>
      <c r="L168" s="28"/>
      <c r="M168" s="28"/>
      <c r="N168" s="26"/>
    </row>
    <row r="169" spans="1:14">
      <c r="A169" s="26"/>
      <c r="B169" s="27"/>
      <c r="C169" s="26"/>
      <c r="D169" s="27"/>
      <c r="E169" s="26"/>
      <c r="F169" s="26"/>
      <c r="G169" s="28"/>
      <c r="H169" s="26"/>
      <c r="I169" s="26"/>
      <c r="J169" s="26"/>
      <c r="K169" s="34"/>
      <c r="L169" s="28"/>
      <c r="M169" s="28"/>
      <c r="N169" s="26"/>
    </row>
    <row r="170" spans="1:14">
      <c r="A170" s="26"/>
      <c r="B170" s="27"/>
      <c r="C170" s="26"/>
      <c r="D170" s="27"/>
      <c r="E170" s="26"/>
      <c r="F170" s="26"/>
      <c r="G170" s="28"/>
      <c r="H170" s="26"/>
      <c r="I170" s="26"/>
      <c r="J170" s="26"/>
      <c r="K170" s="34"/>
      <c r="L170" s="28"/>
      <c r="M170" s="28"/>
      <c r="N170" s="26"/>
    </row>
    <row r="171" spans="1:14">
      <c r="A171" s="26"/>
      <c r="B171" s="27"/>
      <c r="C171" s="26"/>
      <c r="D171" s="27"/>
      <c r="E171" s="26"/>
      <c r="F171" s="26"/>
      <c r="G171" s="28"/>
      <c r="H171" s="26"/>
      <c r="I171" s="26"/>
      <c r="J171" s="26"/>
      <c r="K171" s="34"/>
      <c r="L171" s="28"/>
      <c r="M171" s="28"/>
      <c r="N171" s="26"/>
    </row>
    <row r="172" spans="1:14">
      <c r="A172" s="26"/>
      <c r="B172" s="27"/>
      <c r="C172" s="26"/>
      <c r="D172" s="27"/>
      <c r="E172" s="26"/>
      <c r="F172" s="26"/>
      <c r="G172" s="28"/>
      <c r="H172" s="26"/>
      <c r="I172" s="26"/>
      <c r="J172" s="26"/>
      <c r="K172" s="34"/>
      <c r="L172" s="28"/>
      <c r="M172" s="28"/>
      <c r="N172" s="26"/>
    </row>
    <row r="173" spans="1:14">
      <c r="A173" s="26"/>
      <c r="B173" s="27"/>
      <c r="C173" s="26"/>
      <c r="D173" s="27"/>
      <c r="E173" s="26"/>
      <c r="F173" s="26"/>
      <c r="G173" s="28"/>
      <c r="H173" s="26"/>
      <c r="I173" s="26"/>
      <c r="J173" s="26"/>
      <c r="K173" s="34"/>
      <c r="L173" s="28"/>
      <c r="M173" s="28"/>
      <c r="N173" s="26"/>
    </row>
    <row r="174" spans="1:14">
      <c r="A174" s="26"/>
      <c r="B174" s="27"/>
      <c r="C174" s="26"/>
      <c r="D174" s="27"/>
      <c r="E174" s="26"/>
      <c r="F174" s="26"/>
      <c r="G174" s="28"/>
      <c r="H174" s="26"/>
      <c r="I174" s="26"/>
      <c r="J174" s="26"/>
      <c r="K174" s="34"/>
      <c r="L174" s="28"/>
      <c r="M174" s="28"/>
      <c r="N174" s="26"/>
    </row>
    <row r="175" spans="1:14">
      <c r="A175" s="26"/>
      <c r="B175" s="27"/>
      <c r="C175" s="26"/>
      <c r="D175" s="27"/>
      <c r="E175" s="26"/>
      <c r="F175" s="26"/>
      <c r="G175" s="28"/>
      <c r="H175" s="26"/>
      <c r="I175" s="26"/>
      <c r="J175" s="26"/>
      <c r="K175" s="34"/>
      <c r="L175" s="28"/>
      <c r="M175" s="28"/>
      <c r="N175" s="26"/>
    </row>
    <row r="176" spans="1:14">
      <c r="A176" s="26"/>
      <c r="B176" s="27"/>
      <c r="C176" s="26"/>
      <c r="D176" s="27"/>
      <c r="E176" s="26"/>
      <c r="F176" s="26"/>
      <c r="G176" s="28"/>
      <c r="H176" s="26"/>
      <c r="I176" s="26"/>
      <c r="J176" s="26"/>
      <c r="K176" s="34"/>
      <c r="L176" s="28"/>
      <c r="M176" s="28"/>
      <c r="N176" s="26"/>
    </row>
    <row r="177" spans="1:14">
      <c r="A177" s="26"/>
      <c r="B177" s="27"/>
      <c r="C177" s="26"/>
      <c r="D177" s="27"/>
      <c r="E177" s="26"/>
      <c r="F177" s="26"/>
      <c r="G177" s="28"/>
      <c r="H177" s="26"/>
      <c r="I177" s="26"/>
      <c r="J177" s="26"/>
      <c r="K177" s="34"/>
      <c r="L177" s="28"/>
      <c r="M177" s="28"/>
      <c r="N177" s="26"/>
    </row>
    <row r="178" spans="1:14">
      <c r="A178" s="26"/>
      <c r="B178" s="27"/>
      <c r="C178" s="26"/>
      <c r="D178" s="27"/>
      <c r="E178" s="26"/>
      <c r="F178" s="26"/>
      <c r="G178" s="28"/>
      <c r="H178" s="26"/>
      <c r="I178" s="26"/>
      <c r="J178" s="26"/>
      <c r="K178" s="34"/>
      <c r="L178" s="28"/>
      <c r="M178" s="28"/>
      <c r="N178" s="26"/>
    </row>
    <row r="179" spans="1:14">
      <c r="A179" s="26"/>
      <c r="B179" s="27"/>
      <c r="C179" s="26"/>
      <c r="D179" s="27"/>
      <c r="E179" s="26"/>
      <c r="F179" s="26"/>
      <c r="G179" s="28"/>
      <c r="H179" s="26"/>
      <c r="I179" s="26"/>
      <c r="J179" s="26"/>
      <c r="K179" s="34"/>
      <c r="L179" s="28"/>
      <c r="M179" s="28"/>
      <c r="N179" s="26"/>
    </row>
    <row r="180" spans="1:14">
      <c r="A180" s="26"/>
      <c r="B180" s="27"/>
      <c r="C180" s="26"/>
      <c r="D180" s="27"/>
      <c r="E180" s="26"/>
      <c r="F180" s="26"/>
      <c r="G180" s="28"/>
      <c r="H180" s="26"/>
      <c r="I180" s="26"/>
      <c r="J180" s="26"/>
      <c r="K180" s="34"/>
      <c r="L180" s="28"/>
      <c r="M180" s="28"/>
      <c r="N180" s="26"/>
    </row>
    <row r="181" spans="1:14">
      <c r="A181" s="26"/>
      <c r="B181" s="27"/>
      <c r="C181" s="26"/>
      <c r="D181" s="27"/>
      <c r="E181" s="26"/>
      <c r="F181" s="26"/>
      <c r="G181" s="28"/>
      <c r="H181" s="26"/>
      <c r="I181" s="26"/>
      <c r="J181" s="26"/>
      <c r="K181" s="34"/>
      <c r="L181" s="28"/>
      <c r="M181" s="28"/>
      <c r="N181" s="26"/>
    </row>
    <row r="182" spans="1:14">
      <c r="A182" s="26"/>
      <c r="B182" s="27"/>
      <c r="C182" s="26"/>
      <c r="D182" s="27"/>
      <c r="E182" s="26"/>
      <c r="F182" s="26"/>
      <c r="G182" s="28"/>
      <c r="H182" s="26"/>
      <c r="I182" s="26"/>
      <c r="J182" s="26"/>
      <c r="K182" s="34"/>
      <c r="L182" s="28"/>
      <c r="M182" s="28"/>
      <c r="N182" s="26"/>
    </row>
    <row r="183" spans="1:14">
      <c r="A183" s="26"/>
      <c r="B183" s="27"/>
      <c r="C183" s="26"/>
      <c r="D183" s="27"/>
      <c r="E183" s="26"/>
      <c r="F183" s="26"/>
      <c r="G183" s="28"/>
      <c r="H183" s="26"/>
      <c r="I183" s="26"/>
      <c r="J183" s="26"/>
      <c r="K183" s="34"/>
      <c r="L183" s="28"/>
      <c r="M183" s="28"/>
      <c r="N183" s="26"/>
    </row>
    <row r="184" spans="1:14">
      <c r="A184" s="26"/>
      <c r="B184" s="27"/>
      <c r="C184" s="26"/>
      <c r="D184" s="27"/>
      <c r="E184" s="26"/>
      <c r="F184" s="26"/>
      <c r="G184" s="28"/>
      <c r="H184" s="26"/>
      <c r="I184" s="26"/>
      <c r="J184" s="26"/>
      <c r="K184" s="34"/>
      <c r="L184" s="28"/>
      <c r="M184" s="28"/>
      <c r="N184" s="26"/>
    </row>
    <row r="185" spans="1:14">
      <c r="A185" s="26"/>
      <c r="B185" s="27"/>
      <c r="C185" s="26"/>
      <c r="D185" s="27"/>
      <c r="E185" s="26"/>
      <c r="F185" s="26"/>
      <c r="G185" s="28"/>
      <c r="H185" s="26"/>
      <c r="I185" s="26"/>
      <c r="J185" s="26"/>
      <c r="K185" s="34"/>
      <c r="L185" s="28"/>
      <c r="M185" s="28"/>
      <c r="N185" s="26"/>
    </row>
    <row r="186" spans="1:14">
      <c r="A186" s="26"/>
      <c r="B186" s="27"/>
      <c r="C186" s="26"/>
      <c r="D186" s="27"/>
      <c r="E186" s="26"/>
      <c r="F186" s="26"/>
      <c r="G186" s="28"/>
      <c r="H186" s="26"/>
      <c r="I186" s="26"/>
      <c r="J186" s="26"/>
      <c r="K186" s="34"/>
      <c r="L186" s="28"/>
      <c r="M186" s="28"/>
      <c r="N186" s="26"/>
    </row>
    <row r="187" spans="1:14">
      <c r="A187" s="26"/>
      <c r="B187" s="27"/>
      <c r="C187" s="26"/>
      <c r="D187" s="27"/>
      <c r="E187" s="26"/>
      <c r="F187" s="26"/>
      <c r="G187" s="28"/>
      <c r="H187" s="26"/>
      <c r="I187" s="26"/>
      <c r="J187" s="26"/>
      <c r="K187" s="34"/>
      <c r="L187" s="28"/>
      <c r="M187" s="28"/>
      <c r="N187" s="26"/>
    </row>
    <row r="188" spans="1:14">
      <c r="A188" s="26"/>
      <c r="B188" s="27"/>
      <c r="C188" s="26"/>
      <c r="D188" s="27"/>
      <c r="E188" s="26"/>
      <c r="F188" s="26"/>
      <c r="G188" s="28"/>
      <c r="H188" s="26"/>
      <c r="I188" s="26"/>
      <c r="J188" s="26"/>
      <c r="K188" s="34"/>
      <c r="L188" s="28"/>
      <c r="M188" s="28"/>
      <c r="N188" s="26"/>
    </row>
    <row r="189" spans="1:14">
      <c r="A189" s="26"/>
      <c r="B189" s="27"/>
      <c r="C189" s="26"/>
      <c r="D189" s="27"/>
      <c r="E189" s="26"/>
      <c r="F189" s="26"/>
      <c r="G189" s="28"/>
      <c r="H189" s="26"/>
      <c r="I189" s="26"/>
      <c r="J189" s="26"/>
      <c r="K189" s="34"/>
      <c r="L189" s="28"/>
      <c r="M189" s="28"/>
      <c r="N189" s="26"/>
    </row>
    <row r="190" spans="1:14">
      <c r="A190" s="26"/>
      <c r="B190" s="27"/>
      <c r="C190" s="26"/>
      <c r="D190" s="27"/>
      <c r="E190" s="26"/>
      <c r="F190" s="26"/>
      <c r="G190" s="28"/>
      <c r="H190" s="26"/>
      <c r="I190" s="26"/>
      <c r="J190" s="26"/>
      <c r="K190" s="34"/>
      <c r="L190" s="28"/>
      <c r="M190" s="28"/>
      <c r="N190" s="26"/>
    </row>
    <row r="191" spans="1:14">
      <c r="A191" s="26"/>
      <c r="B191" s="27"/>
      <c r="C191" s="26"/>
      <c r="D191" s="27"/>
      <c r="E191" s="26"/>
      <c r="F191" s="26"/>
      <c r="G191" s="28"/>
      <c r="H191" s="26"/>
      <c r="I191" s="26"/>
      <c r="J191" s="26"/>
      <c r="K191" s="34"/>
      <c r="L191" s="28"/>
      <c r="M191" s="28"/>
      <c r="N191" s="26"/>
    </row>
    <row r="192" spans="1:14">
      <c r="A192" s="26"/>
      <c r="B192" s="27"/>
      <c r="C192" s="26"/>
      <c r="D192" s="27"/>
      <c r="E192" s="26"/>
      <c r="F192" s="26"/>
      <c r="G192" s="28"/>
      <c r="H192" s="26"/>
      <c r="I192" s="26"/>
      <c r="J192" s="26"/>
      <c r="K192" s="34"/>
      <c r="L192" s="28"/>
      <c r="M192" s="28"/>
      <c r="N192" s="26"/>
    </row>
    <row r="193" spans="1:14">
      <c r="A193" s="26"/>
      <c r="B193" s="27"/>
      <c r="C193" s="26"/>
      <c r="D193" s="27"/>
      <c r="E193" s="26"/>
      <c r="F193" s="26"/>
      <c r="G193" s="28"/>
      <c r="H193" s="26"/>
      <c r="I193" s="26"/>
      <c r="J193" s="26"/>
      <c r="K193" s="34"/>
      <c r="L193" s="28"/>
      <c r="M193" s="28"/>
      <c r="N193" s="26"/>
    </row>
    <row r="194" spans="1:14">
      <c r="A194" s="26"/>
      <c r="B194" s="27"/>
      <c r="C194" s="26"/>
      <c r="D194" s="27"/>
      <c r="E194" s="26"/>
      <c r="F194" s="26"/>
      <c r="G194" s="28"/>
      <c r="H194" s="26"/>
      <c r="I194" s="26"/>
      <c r="J194" s="26"/>
      <c r="K194" s="34"/>
      <c r="L194" s="28"/>
      <c r="M194" s="28"/>
      <c r="N194" s="26"/>
    </row>
    <row r="195" spans="1:14">
      <c r="A195" s="26"/>
      <c r="B195" s="27"/>
      <c r="C195" s="26"/>
      <c r="D195" s="27"/>
      <c r="E195" s="26"/>
      <c r="F195" s="26"/>
      <c r="G195" s="28"/>
      <c r="H195" s="26"/>
      <c r="I195" s="26"/>
      <c r="J195" s="26"/>
      <c r="K195" s="34"/>
      <c r="L195" s="28"/>
      <c r="M195" s="28"/>
      <c r="N195" s="26"/>
    </row>
    <row r="196" spans="1:14">
      <c r="A196" s="26"/>
      <c r="B196" s="27"/>
      <c r="C196" s="26"/>
      <c r="D196" s="27"/>
      <c r="E196" s="26"/>
      <c r="F196" s="26"/>
      <c r="G196" s="28"/>
      <c r="H196" s="26"/>
      <c r="I196" s="26"/>
      <c r="J196" s="26"/>
      <c r="K196" s="34"/>
      <c r="L196" s="28"/>
      <c r="M196" s="28"/>
      <c r="N196" s="26"/>
    </row>
    <row r="197" spans="1:14">
      <c r="A197" s="26"/>
      <c r="B197" s="27"/>
      <c r="C197" s="26"/>
      <c r="D197" s="27"/>
      <c r="E197" s="26"/>
      <c r="F197" s="26"/>
      <c r="G197" s="28"/>
      <c r="H197" s="26"/>
      <c r="I197" s="26"/>
      <c r="J197" s="26"/>
      <c r="K197" s="34"/>
      <c r="L197" s="28"/>
      <c r="M197" s="28"/>
      <c r="N197" s="26"/>
    </row>
    <row r="198" spans="1:14">
      <c r="A198" s="26"/>
      <c r="B198" s="27"/>
      <c r="C198" s="26"/>
      <c r="D198" s="27"/>
      <c r="E198" s="26"/>
      <c r="F198" s="26"/>
      <c r="G198" s="28"/>
      <c r="H198" s="26"/>
      <c r="I198" s="26"/>
      <c r="J198" s="26"/>
      <c r="K198" s="34"/>
      <c r="L198" s="28"/>
      <c r="M198" s="28"/>
      <c r="N198" s="26"/>
    </row>
    <row r="199" spans="1:14">
      <c r="A199" s="26"/>
      <c r="B199" s="27"/>
      <c r="C199" s="26"/>
      <c r="D199" s="27"/>
      <c r="E199" s="26"/>
      <c r="F199" s="26"/>
      <c r="G199" s="28"/>
      <c r="H199" s="26"/>
      <c r="I199" s="26"/>
      <c r="J199" s="26"/>
      <c r="K199" s="34"/>
      <c r="L199" s="28"/>
      <c r="M199" s="28"/>
      <c r="N199" s="26"/>
    </row>
    <row r="200" spans="1:14">
      <c r="A200" s="26"/>
      <c r="B200" s="27"/>
      <c r="C200" s="26"/>
      <c r="D200" s="27"/>
      <c r="E200" s="26"/>
      <c r="F200" s="26"/>
      <c r="G200" s="28"/>
      <c r="H200" s="26"/>
      <c r="I200" s="26"/>
      <c r="J200" s="26"/>
      <c r="K200" s="34"/>
      <c r="L200" s="28"/>
      <c r="M200" s="28"/>
      <c r="N200" s="26"/>
    </row>
    <row r="201" spans="1:14">
      <c r="A201" s="26"/>
      <c r="B201" s="27"/>
      <c r="C201" s="26"/>
      <c r="D201" s="27"/>
      <c r="E201" s="26"/>
      <c r="F201" s="26"/>
      <c r="G201" s="28"/>
      <c r="H201" s="26"/>
      <c r="I201" s="26"/>
      <c r="J201" s="26"/>
      <c r="K201" s="34"/>
      <c r="L201" s="28"/>
      <c r="M201" s="28"/>
      <c r="N201" s="26"/>
    </row>
    <row r="202" spans="1:14">
      <c r="A202" s="26"/>
      <c r="B202" s="27"/>
      <c r="C202" s="26"/>
      <c r="D202" s="27"/>
      <c r="E202" s="26"/>
      <c r="F202" s="26"/>
      <c r="G202" s="28"/>
      <c r="H202" s="26"/>
      <c r="I202" s="26"/>
      <c r="J202" s="26"/>
      <c r="K202" s="34"/>
      <c r="L202" s="28"/>
      <c r="M202" s="28"/>
      <c r="N202" s="26"/>
    </row>
    <row r="203" spans="1:14">
      <c r="A203" s="26"/>
      <c r="B203" s="27"/>
      <c r="C203" s="26"/>
      <c r="D203" s="27"/>
      <c r="E203" s="26"/>
      <c r="F203" s="26"/>
      <c r="G203" s="28"/>
      <c r="H203" s="26"/>
      <c r="I203" s="26"/>
      <c r="J203" s="26"/>
      <c r="K203" s="34"/>
      <c r="L203" s="28"/>
      <c r="M203" s="28"/>
      <c r="N203" s="26"/>
    </row>
    <row r="204" spans="1:14">
      <c r="A204" s="26"/>
      <c r="B204" s="27"/>
      <c r="C204" s="26"/>
      <c r="D204" s="27"/>
      <c r="E204" s="26"/>
      <c r="F204" s="26"/>
      <c r="G204" s="28"/>
      <c r="H204" s="26"/>
      <c r="I204" s="26"/>
      <c r="J204" s="26"/>
      <c r="K204" s="34"/>
      <c r="L204" s="28"/>
      <c r="M204" s="28"/>
      <c r="N204" s="26"/>
    </row>
    <row r="205" spans="1:14">
      <c r="A205" s="26"/>
      <c r="B205" s="27"/>
      <c r="C205" s="26"/>
      <c r="D205" s="27"/>
      <c r="E205" s="26"/>
      <c r="F205" s="26"/>
      <c r="G205" s="28"/>
      <c r="H205" s="26"/>
      <c r="I205" s="26"/>
      <c r="J205" s="26"/>
      <c r="K205" s="34"/>
      <c r="L205" s="28"/>
      <c r="M205" s="28"/>
      <c r="N205" s="26"/>
    </row>
    <row r="206" spans="1:14">
      <c r="A206" s="26"/>
      <c r="B206" s="27"/>
      <c r="C206" s="26"/>
      <c r="D206" s="27"/>
      <c r="E206" s="26"/>
      <c r="F206" s="26"/>
      <c r="G206" s="28"/>
      <c r="H206" s="26"/>
      <c r="I206" s="26"/>
      <c r="J206" s="26"/>
      <c r="K206" s="34"/>
      <c r="L206" s="28"/>
      <c r="M206" s="28"/>
      <c r="N206" s="26"/>
    </row>
    <row r="207" spans="1:14">
      <c r="A207" s="26"/>
      <c r="B207" s="27"/>
      <c r="C207" s="26"/>
      <c r="D207" s="27"/>
      <c r="E207" s="26"/>
      <c r="F207" s="26"/>
      <c r="G207" s="28"/>
      <c r="H207" s="26"/>
      <c r="I207" s="26"/>
      <c r="J207" s="26"/>
      <c r="K207" s="34"/>
      <c r="L207" s="28"/>
      <c r="M207" s="28"/>
      <c r="N207" s="26"/>
    </row>
    <row r="208" spans="1:14">
      <c r="A208" s="26"/>
      <c r="B208" s="27"/>
      <c r="C208" s="26"/>
      <c r="D208" s="27"/>
      <c r="E208" s="26"/>
      <c r="F208" s="26"/>
      <c r="G208" s="28"/>
      <c r="H208" s="26"/>
      <c r="I208" s="26"/>
      <c r="J208" s="26"/>
      <c r="K208" s="34"/>
      <c r="L208" s="28"/>
      <c r="M208" s="28"/>
      <c r="N208" s="26"/>
    </row>
    <row r="209" spans="1:14">
      <c r="A209" s="26"/>
      <c r="B209" s="27"/>
      <c r="C209" s="26"/>
      <c r="D209" s="27"/>
      <c r="E209" s="26"/>
      <c r="F209" s="26"/>
      <c r="G209" s="28"/>
      <c r="H209" s="26"/>
      <c r="I209" s="26"/>
      <c r="J209" s="26"/>
      <c r="K209" s="34"/>
      <c r="L209" s="28"/>
      <c r="M209" s="28"/>
      <c r="N209" s="26"/>
    </row>
    <row r="210" spans="1:14">
      <c r="A210" s="26"/>
      <c r="B210" s="27"/>
      <c r="C210" s="26"/>
      <c r="D210" s="27"/>
      <c r="E210" s="26"/>
      <c r="F210" s="26"/>
      <c r="G210" s="28"/>
      <c r="H210" s="26"/>
      <c r="I210" s="26"/>
      <c r="J210" s="26"/>
      <c r="K210" s="34"/>
      <c r="L210" s="28"/>
      <c r="M210" s="28"/>
      <c r="N210" s="26"/>
    </row>
    <row r="211" spans="1:14">
      <c r="A211" s="26"/>
      <c r="B211" s="27"/>
      <c r="C211" s="26"/>
      <c r="D211" s="27"/>
      <c r="E211" s="26"/>
      <c r="F211" s="26"/>
      <c r="G211" s="28"/>
      <c r="H211" s="26"/>
      <c r="I211" s="26"/>
      <c r="J211" s="26"/>
      <c r="K211" s="34"/>
      <c r="L211" s="28"/>
      <c r="M211" s="28"/>
      <c r="N211" s="26"/>
    </row>
    <row r="212" spans="1:14">
      <c r="A212" s="26"/>
      <c r="B212" s="27"/>
      <c r="C212" s="26"/>
      <c r="D212" s="27"/>
      <c r="E212" s="26"/>
      <c r="F212" s="26"/>
      <c r="G212" s="28"/>
      <c r="H212" s="26"/>
      <c r="I212" s="26"/>
      <c r="J212" s="26"/>
      <c r="K212" s="34"/>
      <c r="L212" s="28"/>
      <c r="M212" s="28"/>
      <c r="N212" s="26"/>
    </row>
    <row r="213" spans="1:14">
      <c r="A213" s="26"/>
      <c r="B213" s="27"/>
      <c r="C213" s="26"/>
      <c r="D213" s="27"/>
      <c r="E213" s="26"/>
      <c r="F213" s="26"/>
      <c r="G213" s="28"/>
      <c r="H213" s="26"/>
      <c r="I213" s="26"/>
      <c r="J213" s="26"/>
      <c r="K213" s="34"/>
      <c r="L213" s="28"/>
      <c r="M213" s="28"/>
      <c r="N213" s="26"/>
    </row>
    <row r="214" spans="1:14">
      <c r="A214" s="26"/>
      <c r="B214" s="27"/>
      <c r="C214" s="26"/>
      <c r="D214" s="27"/>
      <c r="E214" s="26"/>
      <c r="F214" s="26"/>
      <c r="G214" s="28"/>
      <c r="H214" s="26"/>
      <c r="I214" s="26"/>
      <c r="J214" s="26"/>
      <c r="K214" s="34"/>
      <c r="L214" s="28"/>
      <c r="M214" s="28"/>
      <c r="N214" s="26"/>
    </row>
    <row r="215" spans="1:14">
      <c r="A215" s="26"/>
      <c r="B215" s="27"/>
      <c r="C215" s="26"/>
      <c r="D215" s="27"/>
      <c r="E215" s="26"/>
      <c r="F215" s="26"/>
      <c r="G215" s="28"/>
      <c r="H215" s="26"/>
      <c r="I215" s="26"/>
      <c r="J215" s="26"/>
      <c r="K215" s="34"/>
      <c r="L215" s="28"/>
      <c r="M215" s="28"/>
      <c r="N215" s="26"/>
    </row>
    <row r="216" spans="1:14">
      <c r="A216" s="26"/>
      <c r="B216" s="27"/>
      <c r="C216" s="26"/>
      <c r="D216" s="27"/>
      <c r="E216" s="26"/>
      <c r="F216" s="26"/>
      <c r="G216" s="28"/>
      <c r="H216" s="26"/>
      <c r="I216" s="26"/>
      <c r="J216" s="26"/>
      <c r="K216" s="34"/>
      <c r="L216" s="28"/>
      <c r="M216" s="28"/>
      <c r="N216" s="26"/>
    </row>
    <row r="217" spans="1:14">
      <c r="A217" s="26"/>
      <c r="B217" s="27"/>
      <c r="C217" s="26"/>
      <c r="D217" s="27"/>
      <c r="E217" s="26"/>
      <c r="F217" s="26"/>
      <c r="G217" s="28"/>
      <c r="H217" s="26"/>
      <c r="I217" s="26"/>
      <c r="J217" s="26"/>
      <c r="K217" s="34"/>
      <c r="L217" s="28"/>
      <c r="M217" s="28"/>
      <c r="N217" s="26"/>
    </row>
    <row r="218" spans="1:14">
      <c r="A218" s="26"/>
      <c r="B218" s="27"/>
      <c r="C218" s="26"/>
      <c r="D218" s="27"/>
      <c r="E218" s="26"/>
      <c r="F218" s="26"/>
      <c r="G218" s="28"/>
      <c r="H218" s="26"/>
      <c r="I218" s="26"/>
      <c r="J218" s="26"/>
      <c r="K218" s="34"/>
      <c r="L218" s="28"/>
      <c r="M218" s="28"/>
      <c r="N218" s="26"/>
    </row>
    <row r="219" spans="1:14">
      <c r="A219" s="26"/>
      <c r="B219" s="27"/>
      <c r="C219" s="26"/>
      <c r="D219" s="27"/>
      <c r="E219" s="26"/>
      <c r="F219" s="26"/>
      <c r="G219" s="28"/>
      <c r="H219" s="26"/>
      <c r="I219" s="26"/>
      <c r="J219" s="26"/>
      <c r="K219" s="34"/>
      <c r="L219" s="28"/>
      <c r="M219" s="28"/>
      <c r="N219" s="26"/>
    </row>
    <row r="220" spans="1:14">
      <c r="A220" s="26"/>
      <c r="B220" s="27"/>
      <c r="C220" s="26"/>
      <c r="D220" s="27"/>
      <c r="E220" s="26"/>
      <c r="F220" s="26"/>
      <c r="G220" s="28"/>
      <c r="H220" s="26"/>
      <c r="I220" s="26"/>
      <c r="J220" s="26"/>
      <c r="K220" s="34"/>
      <c r="L220" s="28"/>
      <c r="M220" s="28"/>
      <c r="N220" s="26"/>
    </row>
    <row r="221" spans="1:14">
      <c r="A221" s="26"/>
      <c r="B221" s="27"/>
      <c r="C221" s="26"/>
      <c r="D221" s="27"/>
      <c r="E221" s="26"/>
      <c r="F221" s="26"/>
      <c r="G221" s="28"/>
      <c r="H221" s="26"/>
      <c r="I221" s="26"/>
      <c r="J221" s="26"/>
      <c r="K221" s="34"/>
      <c r="L221" s="28"/>
      <c r="M221" s="28"/>
      <c r="N221" s="26"/>
    </row>
    <row r="222" spans="1:14">
      <c r="A222" s="26"/>
      <c r="B222" s="27"/>
      <c r="C222" s="26"/>
      <c r="D222" s="27"/>
      <c r="E222" s="26"/>
      <c r="F222" s="26"/>
      <c r="G222" s="28"/>
      <c r="H222" s="26"/>
      <c r="I222" s="26"/>
      <c r="J222" s="26"/>
      <c r="K222" s="34"/>
      <c r="L222" s="28"/>
      <c r="M222" s="28"/>
      <c r="N222" s="26"/>
    </row>
    <row r="223" spans="1:14">
      <c r="A223" s="26"/>
      <c r="B223" s="27"/>
      <c r="C223" s="26"/>
      <c r="D223" s="27"/>
      <c r="E223" s="26"/>
      <c r="F223" s="26"/>
      <c r="G223" s="28"/>
      <c r="H223" s="26"/>
      <c r="I223" s="26"/>
      <c r="J223" s="26"/>
      <c r="K223" s="34"/>
      <c r="L223" s="28"/>
      <c r="M223" s="28"/>
      <c r="N223" s="26"/>
    </row>
    <row r="224" spans="1:14">
      <c r="A224" s="26"/>
      <c r="B224" s="27"/>
      <c r="C224" s="26"/>
      <c r="D224" s="27"/>
      <c r="E224" s="26"/>
      <c r="F224" s="26"/>
      <c r="G224" s="28"/>
      <c r="H224" s="26"/>
      <c r="I224" s="26"/>
      <c r="J224" s="26"/>
      <c r="K224" s="34"/>
      <c r="L224" s="28"/>
      <c r="M224" s="28"/>
      <c r="N224" s="26"/>
    </row>
    <row r="225" spans="1:14">
      <c r="A225" s="26"/>
      <c r="B225" s="27"/>
      <c r="C225" s="26"/>
      <c r="D225" s="27"/>
      <c r="E225" s="26"/>
      <c r="F225" s="26"/>
      <c r="G225" s="28"/>
      <c r="H225" s="26"/>
      <c r="I225" s="26"/>
      <c r="J225" s="26"/>
      <c r="K225" s="34"/>
      <c r="L225" s="28"/>
      <c r="M225" s="28"/>
      <c r="N225" s="26"/>
    </row>
    <row r="226" spans="1:14">
      <c r="A226" s="26"/>
      <c r="B226" s="27"/>
      <c r="C226" s="26"/>
      <c r="D226" s="27"/>
      <c r="E226" s="26"/>
      <c r="F226" s="26"/>
      <c r="G226" s="28"/>
      <c r="H226" s="26"/>
      <c r="I226" s="26"/>
      <c r="J226" s="26"/>
      <c r="K226" s="34"/>
      <c r="L226" s="28"/>
      <c r="M226" s="28"/>
      <c r="N226" s="26"/>
    </row>
    <row r="227" spans="1:14">
      <c r="A227" s="26"/>
      <c r="B227" s="27"/>
      <c r="C227" s="26"/>
      <c r="D227" s="27"/>
      <c r="E227" s="26"/>
      <c r="F227" s="26"/>
      <c r="G227" s="28"/>
      <c r="H227" s="26"/>
      <c r="I227" s="26"/>
      <c r="J227" s="26"/>
      <c r="K227" s="34"/>
      <c r="L227" s="28"/>
      <c r="M227" s="28"/>
      <c r="N227" s="26"/>
    </row>
    <row r="228" spans="1:14">
      <c r="A228" s="26"/>
      <c r="B228" s="27"/>
      <c r="C228" s="26"/>
      <c r="D228" s="27"/>
      <c r="E228" s="26"/>
      <c r="F228" s="26"/>
      <c r="G228" s="28"/>
      <c r="H228" s="26"/>
      <c r="I228" s="26"/>
      <c r="J228" s="26"/>
      <c r="K228" s="34"/>
      <c r="L228" s="28"/>
      <c r="M228" s="28"/>
      <c r="N228" s="26"/>
    </row>
    <row r="229" spans="1:14">
      <c r="A229" s="26"/>
      <c r="B229" s="27"/>
      <c r="C229" s="26"/>
      <c r="D229" s="27"/>
      <c r="E229" s="26"/>
      <c r="F229" s="26"/>
      <c r="G229" s="28"/>
      <c r="H229" s="26"/>
      <c r="I229" s="26"/>
      <c r="J229" s="26"/>
      <c r="K229" s="34"/>
      <c r="L229" s="28"/>
      <c r="M229" s="28"/>
      <c r="N229" s="26"/>
    </row>
    <row r="230" spans="1:14">
      <c r="A230" s="26"/>
      <c r="B230" s="27"/>
      <c r="C230" s="26"/>
      <c r="D230" s="27"/>
      <c r="E230" s="26"/>
      <c r="F230" s="26"/>
      <c r="G230" s="28"/>
      <c r="H230" s="26"/>
      <c r="I230" s="26"/>
      <c r="J230" s="26"/>
      <c r="K230" s="34"/>
      <c r="L230" s="28"/>
      <c r="M230" s="28"/>
      <c r="N230" s="26"/>
    </row>
    <row r="231" spans="1:14">
      <c r="A231" s="26"/>
      <c r="B231" s="27"/>
      <c r="C231" s="26"/>
      <c r="D231" s="27"/>
      <c r="E231" s="26"/>
      <c r="F231" s="26"/>
      <c r="G231" s="28"/>
      <c r="H231" s="26"/>
      <c r="I231" s="26"/>
      <c r="J231" s="26"/>
      <c r="K231" s="34"/>
      <c r="L231" s="28"/>
      <c r="M231" s="28"/>
      <c r="N231" s="26"/>
    </row>
    <row r="232" spans="1:14">
      <c r="A232" s="26"/>
      <c r="B232" s="27"/>
      <c r="C232" s="26"/>
      <c r="D232" s="27"/>
      <c r="E232" s="26"/>
      <c r="F232" s="26"/>
      <c r="G232" s="28"/>
      <c r="H232" s="26"/>
      <c r="I232" s="26"/>
      <c r="J232" s="26"/>
      <c r="K232" s="34"/>
      <c r="L232" s="28"/>
      <c r="M232" s="28"/>
      <c r="N232" s="26"/>
    </row>
    <row r="233" spans="1:14">
      <c r="A233" s="26"/>
      <c r="B233" s="27"/>
      <c r="C233" s="26"/>
      <c r="D233" s="27"/>
      <c r="E233" s="26"/>
      <c r="F233" s="26"/>
      <c r="G233" s="28"/>
      <c r="H233" s="26"/>
      <c r="I233" s="26"/>
      <c r="J233" s="26"/>
      <c r="K233" s="34"/>
      <c r="L233" s="28"/>
      <c r="M233" s="28"/>
      <c r="N233" s="26"/>
    </row>
    <row r="234" spans="1:14">
      <c r="A234" s="26"/>
      <c r="B234" s="27"/>
      <c r="C234" s="26"/>
      <c r="D234" s="27"/>
      <c r="E234" s="26"/>
      <c r="F234" s="26"/>
      <c r="G234" s="28"/>
      <c r="H234" s="26"/>
      <c r="I234" s="26"/>
      <c r="J234" s="26"/>
      <c r="K234" s="34"/>
      <c r="L234" s="28"/>
      <c r="M234" s="28"/>
      <c r="N234" s="26"/>
    </row>
    <row r="235" spans="1:14">
      <c r="A235" s="26"/>
      <c r="B235" s="27"/>
      <c r="C235" s="26"/>
      <c r="D235" s="27"/>
      <c r="E235" s="26"/>
      <c r="F235" s="26"/>
      <c r="G235" s="28"/>
      <c r="H235" s="26"/>
      <c r="I235" s="26"/>
      <c r="J235" s="26"/>
      <c r="K235" s="34"/>
      <c r="L235" s="28"/>
      <c r="M235" s="28"/>
      <c r="N235" s="26"/>
    </row>
    <row r="236" spans="1:14">
      <c r="A236" s="26"/>
      <c r="B236" s="27"/>
      <c r="C236" s="26"/>
      <c r="D236" s="27"/>
      <c r="E236" s="26"/>
      <c r="F236" s="26"/>
      <c r="G236" s="28"/>
      <c r="H236" s="26"/>
      <c r="I236" s="26"/>
      <c r="J236" s="26"/>
      <c r="K236" s="34"/>
      <c r="L236" s="28"/>
      <c r="M236" s="28"/>
      <c r="N236" s="26"/>
    </row>
    <row r="237" spans="1:14">
      <c r="A237" s="26"/>
      <c r="B237" s="27"/>
      <c r="C237" s="26"/>
      <c r="D237" s="27"/>
      <c r="E237" s="26"/>
      <c r="F237" s="26"/>
      <c r="G237" s="28"/>
      <c r="H237" s="26"/>
      <c r="I237" s="26"/>
      <c r="J237" s="26"/>
      <c r="K237" s="34"/>
      <c r="L237" s="28"/>
      <c r="M237" s="28"/>
      <c r="N237" s="26"/>
    </row>
    <row r="238" spans="1:14">
      <c r="A238" s="26"/>
      <c r="B238" s="27"/>
      <c r="C238" s="26"/>
      <c r="D238" s="27"/>
      <c r="E238" s="26"/>
      <c r="F238" s="26"/>
      <c r="G238" s="28"/>
      <c r="H238" s="26"/>
      <c r="I238" s="26"/>
      <c r="J238" s="26"/>
      <c r="K238" s="34"/>
      <c r="L238" s="28"/>
      <c r="M238" s="28"/>
      <c r="N238" s="26"/>
    </row>
    <row r="239" spans="1:14">
      <c r="A239" s="26"/>
      <c r="B239" s="27"/>
      <c r="C239" s="26"/>
      <c r="D239" s="27"/>
      <c r="E239" s="26"/>
      <c r="F239" s="26"/>
      <c r="G239" s="28"/>
      <c r="H239" s="26"/>
      <c r="I239" s="26"/>
      <c r="J239" s="26"/>
      <c r="K239" s="34"/>
      <c r="L239" s="28"/>
      <c r="M239" s="28"/>
      <c r="N239" s="26"/>
    </row>
    <row r="240" spans="1:14">
      <c r="A240" s="26"/>
      <c r="B240" s="27"/>
      <c r="C240" s="26"/>
      <c r="D240" s="27"/>
      <c r="E240" s="26"/>
      <c r="F240" s="26"/>
      <c r="G240" s="28"/>
      <c r="H240" s="26"/>
      <c r="I240" s="26"/>
      <c r="J240" s="26"/>
      <c r="K240" s="34"/>
      <c r="L240" s="28"/>
      <c r="M240" s="28"/>
      <c r="N240" s="26"/>
    </row>
    <row r="241" spans="1:14">
      <c r="A241" s="26"/>
      <c r="B241" s="27"/>
      <c r="C241" s="26"/>
      <c r="D241" s="27"/>
      <c r="E241" s="26"/>
      <c r="F241" s="26"/>
      <c r="G241" s="28"/>
      <c r="H241" s="26"/>
      <c r="I241" s="26"/>
      <c r="J241" s="26"/>
      <c r="K241" s="34"/>
      <c r="L241" s="28"/>
      <c r="M241" s="28"/>
      <c r="N241" s="26"/>
    </row>
    <row r="242" spans="1:14">
      <c r="A242" s="26"/>
      <c r="B242" s="27"/>
      <c r="C242" s="26"/>
      <c r="D242" s="27"/>
      <c r="E242" s="26"/>
      <c r="F242" s="26"/>
      <c r="G242" s="28"/>
      <c r="H242" s="26"/>
      <c r="I242" s="26"/>
      <c r="J242" s="26"/>
      <c r="K242" s="34"/>
      <c r="L242" s="28"/>
      <c r="M242" s="28"/>
      <c r="N242" s="26"/>
    </row>
    <row r="243" spans="1:14">
      <c r="A243" s="26"/>
      <c r="B243" s="27"/>
      <c r="C243" s="26"/>
      <c r="D243" s="27"/>
      <c r="E243" s="26"/>
      <c r="F243" s="26"/>
      <c r="G243" s="28"/>
      <c r="H243" s="26"/>
      <c r="I243" s="26"/>
      <c r="J243" s="26"/>
      <c r="K243" s="34"/>
      <c r="L243" s="28"/>
      <c r="M243" s="28"/>
      <c r="N243" s="26"/>
    </row>
    <row r="244" spans="1:14">
      <c r="A244" s="26"/>
      <c r="B244" s="27"/>
      <c r="C244" s="26"/>
      <c r="D244" s="27"/>
      <c r="E244" s="26"/>
      <c r="F244" s="26"/>
      <c r="G244" s="28"/>
      <c r="H244" s="26"/>
      <c r="I244" s="26"/>
      <c r="J244" s="26"/>
      <c r="K244" s="34"/>
      <c r="L244" s="28"/>
      <c r="M244" s="28"/>
      <c r="N244" s="26"/>
    </row>
    <row r="245" spans="1:14">
      <c r="A245" s="26"/>
      <c r="B245" s="27"/>
      <c r="C245" s="26"/>
      <c r="D245" s="27"/>
      <c r="E245" s="26"/>
      <c r="F245" s="26"/>
      <c r="G245" s="28"/>
      <c r="H245" s="26"/>
      <c r="I245" s="26"/>
      <c r="J245" s="26"/>
      <c r="K245" s="34"/>
      <c r="L245" s="28"/>
      <c r="M245" s="28"/>
      <c r="N245" s="26"/>
    </row>
    <row r="246" spans="1:14">
      <c r="A246" s="26"/>
      <c r="B246" s="27"/>
      <c r="C246" s="26"/>
      <c r="D246" s="27"/>
      <c r="E246" s="26"/>
      <c r="F246" s="26"/>
      <c r="G246" s="28"/>
      <c r="H246" s="26"/>
      <c r="I246" s="26"/>
      <c r="J246" s="26"/>
      <c r="K246" s="34"/>
      <c r="L246" s="28"/>
      <c r="M246" s="28"/>
      <c r="N246" s="26"/>
    </row>
    <row r="247" spans="1:14">
      <c r="A247" s="26"/>
      <c r="B247" s="27"/>
      <c r="C247" s="26"/>
      <c r="D247" s="27"/>
      <c r="E247" s="26"/>
      <c r="F247" s="26"/>
      <c r="G247" s="28"/>
      <c r="H247" s="26"/>
      <c r="I247" s="26"/>
      <c r="J247" s="26"/>
      <c r="K247" s="34"/>
      <c r="L247" s="28"/>
      <c r="M247" s="28"/>
      <c r="N247" s="26"/>
    </row>
    <row r="248" spans="1:14">
      <c r="A248" s="26"/>
      <c r="B248" s="27"/>
      <c r="C248" s="26"/>
      <c r="D248" s="27"/>
      <c r="E248" s="26"/>
      <c r="F248" s="26"/>
      <c r="G248" s="28"/>
      <c r="H248" s="26"/>
      <c r="I248" s="26"/>
      <c r="J248" s="26"/>
      <c r="K248" s="34"/>
      <c r="L248" s="28"/>
      <c r="M248" s="28"/>
      <c r="N248" s="26"/>
    </row>
    <row r="249" spans="1:14">
      <c r="A249" s="26"/>
      <c r="B249" s="27"/>
      <c r="C249" s="26"/>
      <c r="D249" s="27"/>
      <c r="E249" s="26"/>
      <c r="F249" s="26"/>
      <c r="G249" s="28"/>
      <c r="H249" s="26"/>
      <c r="I249" s="26"/>
      <c r="J249" s="26"/>
      <c r="K249" s="34"/>
      <c r="L249" s="28"/>
      <c r="M249" s="28"/>
      <c r="N249" s="26"/>
    </row>
    <row r="250" spans="1:14">
      <c r="A250" s="26"/>
      <c r="B250" s="27"/>
      <c r="C250" s="26"/>
      <c r="D250" s="27"/>
      <c r="E250" s="26"/>
      <c r="F250" s="26"/>
      <c r="G250" s="28"/>
      <c r="H250" s="26"/>
      <c r="I250" s="26"/>
      <c r="J250" s="26"/>
      <c r="K250" s="34"/>
      <c r="L250" s="28"/>
      <c r="M250" s="28"/>
      <c r="N250" s="26"/>
    </row>
    <row r="251" spans="1:14">
      <c r="A251" s="26"/>
      <c r="B251" s="27"/>
      <c r="C251" s="26"/>
      <c r="D251" s="27"/>
      <c r="E251" s="26"/>
      <c r="F251" s="26"/>
      <c r="G251" s="28"/>
      <c r="H251" s="26"/>
      <c r="I251" s="26"/>
      <c r="J251" s="26"/>
      <c r="K251" s="34"/>
      <c r="L251" s="28"/>
      <c r="M251" s="28"/>
      <c r="N251" s="26"/>
    </row>
    <row r="252" spans="1:14">
      <c r="A252" s="26"/>
      <c r="B252" s="27"/>
      <c r="C252" s="26"/>
      <c r="D252" s="27"/>
      <c r="E252" s="26"/>
      <c r="F252" s="26"/>
      <c r="G252" s="28"/>
      <c r="H252" s="26"/>
      <c r="I252" s="26"/>
      <c r="J252" s="26"/>
      <c r="K252" s="34"/>
      <c r="L252" s="28"/>
      <c r="M252" s="28"/>
      <c r="N252" s="26"/>
    </row>
    <row r="253" spans="1:14">
      <c r="A253" s="26"/>
      <c r="B253" s="27"/>
      <c r="C253" s="26"/>
      <c r="D253" s="27"/>
      <c r="E253" s="26"/>
      <c r="F253" s="26"/>
      <c r="G253" s="28"/>
      <c r="H253" s="26"/>
      <c r="I253" s="26"/>
      <c r="J253" s="26"/>
      <c r="K253" s="34"/>
      <c r="L253" s="28"/>
      <c r="M253" s="28"/>
      <c r="N253" s="26"/>
    </row>
    <row r="254" spans="1:14">
      <c r="A254" s="26"/>
      <c r="B254" s="27"/>
      <c r="C254" s="26"/>
      <c r="D254" s="27"/>
      <c r="E254" s="26"/>
      <c r="F254" s="26"/>
      <c r="G254" s="28"/>
      <c r="H254" s="26"/>
      <c r="I254" s="26"/>
      <c r="J254" s="26"/>
      <c r="K254" s="34"/>
      <c r="L254" s="28"/>
      <c r="M254" s="28"/>
      <c r="N254" s="26"/>
    </row>
    <row r="255" spans="1:14">
      <c r="A255" s="26"/>
      <c r="B255" s="27"/>
      <c r="C255" s="26"/>
      <c r="D255" s="27"/>
      <c r="E255" s="26"/>
      <c r="F255" s="26"/>
      <c r="G255" s="28"/>
      <c r="H255" s="26"/>
      <c r="I255" s="26"/>
      <c r="J255" s="26"/>
      <c r="K255" s="34"/>
      <c r="L255" s="28"/>
      <c r="M255" s="28"/>
      <c r="N255" s="26"/>
    </row>
    <row r="256" spans="1:14">
      <c r="A256" s="26"/>
      <c r="B256" s="27"/>
      <c r="C256" s="26"/>
      <c r="D256" s="27"/>
      <c r="E256" s="26"/>
      <c r="F256" s="26"/>
      <c r="G256" s="28"/>
      <c r="H256" s="26"/>
      <c r="I256" s="26"/>
      <c r="J256" s="26"/>
      <c r="K256" s="34"/>
      <c r="L256" s="28"/>
      <c r="M256" s="28"/>
      <c r="N256" s="26"/>
    </row>
    <row r="257" spans="1:14">
      <c r="A257" s="26"/>
      <c r="B257" s="27"/>
      <c r="C257" s="26"/>
      <c r="D257" s="27"/>
      <c r="E257" s="26"/>
      <c r="F257" s="26"/>
      <c r="G257" s="28"/>
      <c r="H257" s="26"/>
      <c r="I257" s="26"/>
      <c r="J257" s="26"/>
      <c r="K257" s="34"/>
      <c r="L257" s="28"/>
      <c r="M257" s="28"/>
      <c r="N257" s="26"/>
    </row>
    <row r="258" spans="1:14">
      <c r="A258" s="26"/>
      <c r="B258" s="27"/>
      <c r="C258" s="26"/>
      <c r="D258" s="27"/>
      <c r="E258" s="26"/>
      <c r="F258" s="26"/>
      <c r="G258" s="28"/>
      <c r="H258" s="26"/>
      <c r="I258" s="26"/>
      <c r="J258" s="26"/>
      <c r="K258" s="34"/>
      <c r="L258" s="28"/>
      <c r="M258" s="28"/>
      <c r="N258" s="26"/>
    </row>
    <row r="259" spans="1:14">
      <c r="A259" s="26"/>
      <c r="B259" s="27"/>
      <c r="C259" s="26"/>
      <c r="D259" s="27"/>
      <c r="E259" s="26"/>
      <c r="F259" s="26"/>
      <c r="G259" s="28"/>
      <c r="H259" s="26"/>
      <c r="I259" s="26"/>
      <c r="J259" s="26"/>
      <c r="K259" s="34"/>
      <c r="L259" s="28"/>
      <c r="M259" s="28"/>
      <c r="N259" s="26"/>
    </row>
    <row r="260" spans="1:14">
      <c r="A260" s="26"/>
      <c r="B260" s="27"/>
      <c r="C260" s="26"/>
      <c r="D260" s="27"/>
      <c r="E260" s="26"/>
      <c r="F260" s="26"/>
      <c r="G260" s="28"/>
      <c r="H260" s="26"/>
      <c r="I260" s="26"/>
      <c r="J260" s="26"/>
      <c r="K260" s="34"/>
      <c r="L260" s="28"/>
      <c r="M260" s="28"/>
      <c r="N260" s="26"/>
    </row>
    <row r="261" spans="1:14">
      <c r="A261" s="26"/>
      <c r="B261" s="27"/>
      <c r="C261" s="26"/>
      <c r="D261" s="27"/>
      <c r="E261" s="26"/>
      <c r="F261" s="26"/>
      <c r="G261" s="28"/>
      <c r="H261" s="26"/>
      <c r="I261" s="26"/>
      <c r="J261" s="26"/>
      <c r="K261" s="34"/>
      <c r="L261" s="28"/>
      <c r="M261" s="28"/>
      <c r="N261" s="26"/>
    </row>
    <row r="262" spans="1:14">
      <c r="A262" s="26"/>
      <c r="B262" s="27"/>
      <c r="C262" s="26"/>
      <c r="D262" s="27"/>
      <c r="E262" s="26"/>
      <c r="F262" s="26"/>
      <c r="G262" s="28"/>
      <c r="H262" s="26"/>
      <c r="I262" s="26"/>
      <c r="J262" s="26"/>
      <c r="K262" s="34"/>
      <c r="L262" s="28"/>
      <c r="M262" s="28"/>
      <c r="N262" s="26"/>
    </row>
    <row r="263" spans="1:14">
      <c r="A263" s="26"/>
      <c r="B263" s="27"/>
      <c r="C263" s="26"/>
      <c r="D263" s="27"/>
      <c r="E263" s="26"/>
      <c r="F263" s="26"/>
      <c r="G263" s="28"/>
      <c r="H263" s="26"/>
      <c r="I263" s="26"/>
      <c r="J263" s="26"/>
      <c r="K263" s="34"/>
      <c r="L263" s="28"/>
      <c r="M263" s="28"/>
      <c r="N263" s="26"/>
    </row>
    <row r="264" spans="1:14">
      <c r="A264" s="26"/>
      <c r="B264" s="27"/>
      <c r="C264" s="26"/>
      <c r="D264" s="27"/>
      <c r="E264" s="26"/>
      <c r="F264" s="26"/>
      <c r="G264" s="28"/>
      <c r="H264" s="26"/>
      <c r="I264" s="26"/>
      <c r="J264" s="26"/>
      <c r="K264" s="34"/>
      <c r="L264" s="28"/>
      <c r="M264" s="28"/>
      <c r="N264" s="26"/>
    </row>
    <row r="265" spans="1:14">
      <c r="A265" s="26"/>
      <c r="B265" s="27"/>
      <c r="C265" s="26"/>
      <c r="D265" s="27"/>
      <c r="E265" s="26"/>
      <c r="F265" s="26"/>
      <c r="G265" s="28"/>
      <c r="H265" s="26"/>
      <c r="I265" s="26"/>
      <c r="J265" s="26"/>
      <c r="K265" s="34"/>
      <c r="L265" s="28"/>
      <c r="M265" s="28"/>
      <c r="N265" s="26"/>
    </row>
    <row r="266" spans="1:14">
      <c r="A266" s="26"/>
      <c r="B266" s="27"/>
      <c r="C266" s="26"/>
      <c r="D266" s="27"/>
      <c r="E266" s="26"/>
      <c r="F266" s="26"/>
      <c r="G266" s="28"/>
      <c r="H266" s="26"/>
      <c r="I266" s="26"/>
      <c r="J266" s="26"/>
      <c r="K266" s="34"/>
      <c r="L266" s="28"/>
      <c r="M266" s="28"/>
      <c r="N266" s="26"/>
    </row>
    <row r="267" spans="1:14">
      <c r="A267" s="26"/>
      <c r="B267" s="27"/>
      <c r="C267" s="26"/>
      <c r="D267" s="27"/>
      <c r="E267" s="26"/>
      <c r="F267" s="26"/>
      <c r="G267" s="28"/>
      <c r="H267" s="26"/>
      <c r="I267" s="26"/>
      <c r="J267" s="26"/>
      <c r="K267" s="34"/>
      <c r="L267" s="28"/>
      <c r="M267" s="28"/>
      <c r="N267" s="26"/>
    </row>
    <row r="268" spans="1:14">
      <c r="A268" s="26"/>
      <c r="B268" s="27"/>
      <c r="C268" s="26"/>
      <c r="D268" s="27"/>
      <c r="E268" s="26"/>
      <c r="F268" s="26"/>
      <c r="G268" s="28"/>
      <c r="H268" s="26"/>
      <c r="I268" s="26"/>
      <c r="J268" s="26"/>
      <c r="K268" s="34"/>
      <c r="L268" s="28"/>
      <c r="M268" s="28"/>
      <c r="N268" s="26"/>
    </row>
    <row r="269" spans="1:14">
      <c r="A269" s="26"/>
      <c r="B269" s="27"/>
      <c r="C269" s="26"/>
      <c r="D269" s="27"/>
      <c r="E269" s="26"/>
      <c r="F269" s="26"/>
      <c r="G269" s="28"/>
      <c r="H269" s="26"/>
      <c r="I269" s="26"/>
      <c r="J269" s="26"/>
      <c r="K269" s="34"/>
      <c r="L269" s="28"/>
      <c r="M269" s="28"/>
      <c r="N269" s="26"/>
    </row>
    <row r="270" spans="1:14">
      <c r="A270" s="26"/>
      <c r="B270" s="27"/>
      <c r="C270" s="26"/>
      <c r="D270" s="27"/>
      <c r="E270" s="26"/>
      <c r="F270" s="26"/>
      <c r="G270" s="28"/>
      <c r="H270" s="26"/>
      <c r="I270" s="26"/>
      <c r="J270" s="26"/>
      <c r="K270" s="34"/>
      <c r="L270" s="28"/>
      <c r="M270" s="28"/>
      <c r="N270" s="26"/>
    </row>
    <row r="271" spans="1:14">
      <c r="A271" s="26"/>
      <c r="B271" s="27"/>
      <c r="C271" s="26"/>
      <c r="D271" s="27"/>
      <c r="E271" s="26"/>
      <c r="F271" s="26"/>
      <c r="G271" s="28"/>
      <c r="H271" s="26"/>
      <c r="I271" s="26"/>
      <c r="J271" s="26"/>
      <c r="K271" s="34"/>
      <c r="L271" s="28"/>
      <c r="M271" s="28"/>
      <c r="N271" s="26"/>
    </row>
    <row r="272" spans="1:14">
      <c r="A272" s="26"/>
      <c r="B272" s="27"/>
      <c r="C272" s="26"/>
      <c r="D272" s="27"/>
      <c r="E272" s="26"/>
      <c r="F272" s="26"/>
      <c r="G272" s="28"/>
      <c r="H272" s="26"/>
      <c r="I272" s="26"/>
      <c r="J272" s="26"/>
      <c r="K272" s="34"/>
      <c r="L272" s="28"/>
      <c r="M272" s="28"/>
      <c r="N272" s="26"/>
    </row>
    <row r="273" spans="1:14">
      <c r="A273" s="26"/>
      <c r="B273" s="27"/>
      <c r="C273" s="26"/>
      <c r="D273" s="27"/>
      <c r="E273" s="26"/>
      <c r="F273" s="26"/>
      <c r="G273" s="28"/>
      <c r="H273" s="26"/>
      <c r="I273" s="26"/>
      <c r="J273" s="26"/>
      <c r="K273" s="34"/>
      <c r="L273" s="28"/>
      <c r="M273" s="28"/>
      <c r="N273" s="26"/>
    </row>
    <row r="274" spans="1:14">
      <c r="A274" s="26"/>
      <c r="B274" s="27"/>
      <c r="C274" s="26"/>
      <c r="D274" s="27"/>
      <c r="E274" s="26"/>
      <c r="F274" s="26"/>
      <c r="G274" s="28"/>
      <c r="H274" s="26"/>
      <c r="I274" s="26"/>
      <c r="J274" s="26"/>
      <c r="K274" s="34"/>
      <c r="L274" s="28"/>
      <c r="M274" s="28"/>
      <c r="N274" s="26"/>
    </row>
    <row r="275" spans="1:14">
      <c r="A275" s="26"/>
      <c r="B275" s="27"/>
      <c r="C275" s="26"/>
      <c r="D275" s="27"/>
      <c r="E275" s="26"/>
      <c r="F275" s="26"/>
      <c r="G275" s="28"/>
      <c r="H275" s="26"/>
      <c r="I275" s="26"/>
      <c r="J275" s="26"/>
      <c r="K275" s="34"/>
      <c r="L275" s="28"/>
      <c r="M275" s="28"/>
      <c r="N275" s="26"/>
    </row>
    <row r="276" spans="1:14">
      <c r="A276" s="26"/>
      <c r="B276" s="27"/>
      <c r="C276" s="26"/>
      <c r="D276" s="27"/>
      <c r="E276" s="26"/>
      <c r="F276" s="26"/>
      <c r="G276" s="28"/>
      <c r="H276" s="26"/>
      <c r="I276" s="26"/>
      <c r="J276" s="26"/>
      <c r="K276" s="34"/>
      <c r="L276" s="28"/>
      <c r="M276" s="28"/>
      <c r="N276" s="26"/>
    </row>
    <row r="277" spans="1:14">
      <c r="A277" s="26"/>
      <c r="B277" s="27"/>
      <c r="C277" s="26"/>
      <c r="D277" s="27"/>
      <c r="E277" s="26"/>
      <c r="F277" s="26"/>
      <c r="G277" s="28"/>
      <c r="H277" s="26"/>
      <c r="I277" s="26"/>
      <c r="J277" s="26"/>
      <c r="K277" s="34"/>
      <c r="L277" s="28"/>
      <c r="M277" s="28"/>
      <c r="N277" s="26"/>
    </row>
    <row r="278" spans="1:14">
      <c r="A278" s="26"/>
      <c r="B278" s="27"/>
      <c r="C278" s="26"/>
      <c r="D278" s="27"/>
      <c r="E278" s="26"/>
      <c r="F278" s="26"/>
      <c r="G278" s="28"/>
      <c r="H278" s="26"/>
      <c r="I278" s="26"/>
      <c r="J278" s="26"/>
      <c r="K278" s="34"/>
      <c r="L278" s="28"/>
      <c r="M278" s="28"/>
      <c r="N278" s="26"/>
    </row>
    <row r="279" spans="1:14">
      <c r="A279" s="26"/>
      <c r="B279" s="27"/>
      <c r="C279" s="26"/>
      <c r="D279" s="27"/>
      <c r="E279" s="26"/>
      <c r="F279" s="26"/>
      <c r="G279" s="28"/>
      <c r="H279" s="26"/>
      <c r="I279" s="26"/>
      <c r="J279" s="26"/>
      <c r="K279" s="34"/>
      <c r="L279" s="28"/>
      <c r="M279" s="28"/>
      <c r="N279" s="26"/>
    </row>
    <row r="280" spans="1:14">
      <c r="A280" s="26"/>
      <c r="B280" s="27"/>
      <c r="C280" s="26"/>
      <c r="D280" s="27"/>
      <c r="E280" s="26"/>
      <c r="F280" s="26"/>
      <c r="G280" s="28"/>
      <c r="H280" s="26"/>
      <c r="I280" s="26"/>
      <c r="J280" s="26"/>
      <c r="K280" s="34"/>
      <c r="L280" s="28"/>
      <c r="M280" s="28"/>
      <c r="N280" s="26"/>
    </row>
    <row r="281" spans="1:14">
      <c r="A281" s="26"/>
      <c r="B281" s="27"/>
      <c r="C281" s="26"/>
      <c r="D281" s="27"/>
      <c r="E281" s="26"/>
      <c r="F281" s="26"/>
      <c r="G281" s="28"/>
      <c r="H281" s="26"/>
      <c r="I281" s="26"/>
      <c r="J281" s="26"/>
      <c r="K281" s="34"/>
      <c r="L281" s="28"/>
      <c r="M281" s="28"/>
      <c r="N281" s="26"/>
    </row>
    <row r="282" spans="1:14">
      <c r="A282" s="26"/>
      <c r="B282" s="27"/>
      <c r="C282" s="26"/>
      <c r="D282" s="27"/>
      <c r="E282" s="26"/>
      <c r="F282" s="26"/>
      <c r="G282" s="28"/>
      <c r="H282" s="26"/>
      <c r="I282" s="26"/>
      <c r="J282" s="26"/>
      <c r="K282" s="34"/>
      <c r="L282" s="28"/>
      <c r="M282" s="28"/>
      <c r="N282" s="26"/>
    </row>
    <row r="283" spans="1:14">
      <c r="A283" s="26"/>
      <c r="B283" s="27"/>
      <c r="C283" s="26"/>
      <c r="D283" s="27"/>
      <c r="E283" s="26"/>
      <c r="F283" s="26"/>
      <c r="G283" s="28"/>
      <c r="H283" s="26"/>
      <c r="I283" s="26"/>
      <c r="J283" s="26"/>
      <c r="K283" s="34"/>
      <c r="L283" s="28"/>
      <c r="M283" s="28"/>
      <c r="N283" s="26"/>
    </row>
    <row r="284" spans="1:14">
      <c r="A284" s="26"/>
      <c r="B284" s="27"/>
      <c r="C284" s="26"/>
      <c r="D284" s="27"/>
      <c r="E284" s="26"/>
      <c r="F284" s="26"/>
      <c r="G284" s="28"/>
      <c r="H284" s="26"/>
      <c r="I284" s="26"/>
      <c r="J284" s="26"/>
      <c r="K284" s="34"/>
      <c r="L284" s="28"/>
      <c r="M284" s="28"/>
      <c r="N284" s="26"/>
    </row>
    <row r="285" spans="1:14">
      <c r="A285" s="26"/>
      <c r="B285" s="27"/>
      <c r="C285" s="26"/>
      <c r="D285" s="27"/>
      <c r="E285" s="26"/>
      <c r="F285" s="26"/>
      <c r="G285" s="28"/>
      <c r="H285" s="26"/>
      <c r="I285" s="26"/>
      <c r="J285" s="26"/>
      <c r="K285" s="34"/>
      <c r="L285" s="28"/>
      <c r="M285" s="28"/>
      <c r="N285" s="26"/>
    </row>
    <row r="286" spans="1:14">
      <c r="A286" s="26"/>
      <c r="B286" s="27"/>
      <c r="C286" s="26"/>
      <c r="D286" s="27"/>
      <c r="E286" s="26"/>
      <c r="F286" s="26"/>
      <c r="G286" s="28"/>
      <c r="H286" s="26"/>
      <c r="I286" s="26"/>
      <c r="J286" s="26"/>
      <c r="K286" s="34"/>
      <c r="L286" s="28"/>
      <c r="M286" s="28"/>
      <c r="N286" s="26"/>
    </row>
    <row r="287" spans="1:14">
      <c r="A287" s="26"/>
      <c r="B287" s="27"/>
      <c r="C287" s="26"/>
      <c r="D287" s="27"/>
      <c r="E287" s="26"/>
      <c r="F287" s="26"/>
      <c r="G287" s="28"/>
      <c r="H287" s="26"/>
      <c r="I287" s="26"/>
      <c r="J287" s="26"/>
      <c r="K287" s="34"/>
      <c r="L287" s="28"/>
      <c r="M287" s="28"/>
      <c r="N287" s="26"/>
    </row>
    <row r="288" spans="1:14">
      <c r="A288" s="26"/>
      <c r="B288" s="27"/>
      <c r="C288" s="26"/>
      <c r="D288" s="27"/>
      <c r="E288" s="26"/>
      <c r="F288" s="26"/>
      <c r="G288" s="28"/>
      <c r="H288" s="26"/>
      <c r="I288" s="26"/>
      <c r="J288" s="26"/>
      <c r="K288" s="34"/>
      <c r="L288" s="28"/>
      <c r="M288" s="28"/>
      <c r="N288" s="26"/>
    </row>
    <row r="289" spans="1:14">
      <c r="A289" s="26"/>
      <c r="B289" s="27"/>
      <c r="C289" s="26"/>
      <c r="D289" s="27"/>
      <c r="E289" s="26"/>
      <c r="F289" s="26"/>
      <c r="G289" s="28"/>
      <c r="H289" s="26"/>
      <c r="I289" s="26"/>
      <c r="J289" s="26"/>
      <c r="K289" s="34"/>
      <c r="L289" s="28"/>
      <c r="M289" s="28"/>
      <c r="N289" s="26"/>
    </row>
    <row r="290" spans="1:14">
      <c r="A290" s="26"/>
      <c r="B290" s="27"/>
      <c r="C290" s="26"/>
      <c r="D290" s="27"/>
      <c r="E290" s="26"/>
      <c r="F290" s="26"/>
      <c r="G290" s="28"/>
      <c r="H290" s="26"/>
      <c r="I290" s="26"/>
      <c r="J290" s="26"/>
      <c r="K290" s="34"/>
      <c r="L290" s="28"/>
      <c r="M290" s="28"/>
      <c r="N290" s="26"/>
    </row>
    <row r="291" spans="1:14">
      <c r="A291" s="26"/>
      <c r="B291" s="27"/>
      <c r="C291" s="26"/>
      <c r="D291" s="27"/>
      <c r="E291" s="26"/>
      <c r="F291" s="26"/>
      <c r="G291" s="28"/>
      <c r="H291" s="26"/>
      <c r="I291" s="26"/>
      <c r="J291" s="26"/>
      <c r="K291" s="34"/>
      <c r="L291" s="28"/>
      <c r="M291" s="28"/>
      <c r="N291" s="26"/>
    </row>
    <row r="292" spans="1:14">
      <c r="A292" s="26"/>
      <c r="B292" s="27"/>
      <c r="C292" s="26"/>
      <c r="D292" s="27"/>
      <c r="E292" s="26"/>
      <c r="F292" s="26"/>
      <c r="G292" s="28"/>
      <c r="H292" s="26"/>
      <c r="I292" s="26"/>
      <c r="J292" s="26"/>
      <c r="K292" s="34"/>
      <c r="L292" s="28"/>
      <c r="M292" s="28"/>
      <c r="N292" s="26"/>
    </row>
    <row r="293" spans="1:14">
      <c r="A293" s="26"/>
      <c r="B293" s="27"/>
      <c r="C293" s="26"/>
      <c r="D293" s="27"/>
      <c r="E293" s="26"/>
      <c r="F293" s="26"/>
      <c r="G293" s="28"/>
      <c r="H293" s="26"/>
      <c r="I293" s="26"/>
      <c r="J293" s="26"/>
      <c r="K293" s="34"/>
      <c r="L293" s="28"/>
      <c r="M293" s="28"/>
      <c r="N293" s="26"/>
    </row>
    <row r="294" spans="1:14">
      <c r="A294" s="26"/>
      <c r="B294" s="27"/>
      <c r="C294" s="26"/>
      <c r="D294" s="27"/>
      <c r="E294" s="26"/>
      <c r="F294" s="26"/>
      <c r="G294" s="28"/>
      <c r="H294" s="26"/>
      <c r="I294" s="26"/>
      <c r="J294" s="26"/>
      <c r="K294" s="34"/>
      <c r="L294" s="28"/>
      <c r="M294" s="28"/>
      <c r="N294" s="26"/>
    </row>
    <row r="295" spans="1:14">
      <c r="A295" s="26"/>
      <c r="B295" s="27"/>
      <c r="C295" s="26"/>
      <c r="D295" s="27"/>
      <c r="E295" s="26"/>
      <c r="F295" s="26"/>
      <c r="G295" s="28"/>
      <c r="H295" s="26"/>
      <c r="I295" s="26"/>
      <c r="J295" s="26"/>
      <c r="K295" s="34"/>
      <c r="L295" s="28"/>
      <c r="M295" s="28"/>
      <c r="N295" s="26"/>
    </row>
    <row r="296" spans="1:14">
      <c r="A296" s="26"/>
      <c r="B296" s="27"/>
      <c r="C296" s="26"/>
      <c r="D296" s="27"/>
      <c r="E296" s="26"/>
      <c r="F296" s="26"/>
      <c r="G296" s="28"/>
      <c r="H296" s="26"/>
      <c r="I296" s="26"/>
      <c r="J296" s="26"/>
      <c r="K296" s="34"/>
      <c r="L296" s="28"/>
      <c r="M296" s="28"/>
      <c r="N296" s="26"/>
    </row>
    <row r="297" spans="1:14">
      <c r="A297" s="26"/>
      <c r="B297" s="27"/>
      <c r="C297" s="26"/>
      <c r="D297" s="27"/>
      <c r="E297" s="26"/>
      <c r="F297" s="26"/>
      <c r="G297" s="28"/>
      <c r="H297" s="26"/>
      <c r="I297" s="26"/>
      <c r="J297" s="26"/>
      <c r="K297" s="34"/>
      <c r="L297" s="28"/>
      <c r="M297" s="28"/>
      <c r="N297" s="26"/>
    </row>
    <row r="298" spans="1:14">
      <c r="A298" s="26"/>
      <c r="B298" s="27"/>
      <c r="C298" s="26"/>
      <c r="D298" s="27"/>
      <c r="E298" s="26"/>
      <c r="F298" s="26"/>
      <c r="G298" s="28"/>
      <c r="H298" s="26"/>
      <c r="I298" s="26"/>
      <c r="J298" s="26"/>
      <c r="K298" s="34"/>
      <c r="L298" s="28"/>
      <c r="M298" s="28"/>
      <c r="N298" s="26"/>
    </row>
    <row r="299" spans="1:14">
      <c r="A299" s="26"/>
      <c r="B299" s="27"/>
      <c r="C299" s="26"/>
      <c r="D299" s="27"/>
      <c r="E299" s="26"/>
      <c r="F299" s="26"/>
      <c r="G299" s="28"/>
      <c r="H299" s="26"/>
      <c r="I299" s="26"/>
      <c r="J299" s="26"/>
      <c r="K299" s="34"/>
      <c r="L299" s="28"/>
      <c r="M299" s="28"/>
      <c r="N299" s="26"/>
    </row>
    <row r="300" spans="1:14">
      <c r="A300" s="26"/>
      <c r="B300" s="27"/>
      <c r="C300" s="26"/>
      <c r="D300" s="27"/>
      <c r="E300" s="26"/>
      <c r="F300" s="26"/>
      <c r="G300" s="28"/>
      <c r="H300" s="26"/>
      <c r="I300" s="26"/>
      <c r="J300" s="26"/>
      <c r="K300" s="34"/>
      <c r="L300" s="28"/>
      <c r="M300" s="28"/>
      <c r="N300" s="26"/>
    </row>
    <row r="301" spans="1:14">
      <c r="A301" s="26"/>
      <c r="B301" s="27"/>
      <c r="C301" s="26"/>
      <c r="D301" s="27"/>
      <c r="E301" s="26"/>
      <c r="F301" s="26"/>
      <c r="G301" s="28"/>
      <c r="H301" s="26"/>
      <c r="I301" s="26"/>
      <c r="J301" s="26"/>
      <c r="K301" s="34"/>
      <c r="L301" s="28"/>
      <c r="M301" s="28"/>
      <c r="N301" s="26"/>
    </row>
    <row r="302" spans="1:14">
      <c r="A302" s="26"/>
      <c r="B302" s="27"/>
      <c r="C302" s="26"/>
      <c r="D302" s="27"/>
      <c r="E302" s="26"/>
      <c r="F302" s="26"/>
      <c r="G302" s="28"/>
      <c r="H302" s="26"/>
      <c r="I302" s="26"/>
      <c r="J302" s="26"/>
      <c r="K302" s="34"/>
      <c r="L302" s="28"/>
      <c r="M302" s="28"/>
      <c r="N302" s="26"/>
    </row>
    <row r="303" spans="1:14">
      <c r="A303" s="26"/>
      <c r="B303" s="27"/>
      <c r="C303" s="26"/>
      <c r="D303" s="27"/>
      <c r="E303" s="26"/>
      <c r="F303" s="26"/>
      <c r="G303" s="28"/>
      <c r="H303" s="26"/>
      <c r="I303" s="26"/>
      <c r="J303" s="26"/>
      <c r="K303" s="34"/>
      <c r="L303" s="28"/>
      <c r="M303" s="28"/>
      <c r="N303" s="26"/>
    </row>
    <row r="304" spans="1:14">
      <c r="A304" s="26"/>
      <c r="B304" s="27"/>
      <c r="C304" s="26"/>
      <c r="D304" s="27"/>
      <c r="E304" s="26"/>
      <c r="F304" s="26"/>
      <c r="G304" s="28"/>
      <c r="H304" s="26"/>
      <c r="I304" s="26"/>
      <c r="J304" s="26"/>
      <c r="K304" s="34"/>
      <c r="L304" s="28"/>
      <c r="M304" s="28"/>
      <c r="N304" s="26"/>
    </row>
    <row r="305" spans="1:14">
      <c r="A305" s="26"/>
      <c r="B305" s="27"/>
      <c r="C305" s="26"/>
      <c r="D305" s="27"/>
      <c r="E305" s="26"/>
      <c r="F305" s="26"/>
      <c r="G305" s="28"/>
      <c r="H305" s="26"/>
      <c r="I305" s="26"/>
      <c r="J305" s="26"/>
      <c r="K305" s="34"/>
      <c r="L305" s="28"/>
      <c r="M305" s="28"/>
      <c r="N305" s="26"/>
    </row>
    <row r="306" spans="1:14">
      <c r="A306" s="26"/>
      <c r="B306" s="27"/>
      <c r="C306" s="26"/>
      <c r="D306" s="27"/>
      <c r="E306" s="26"/>
      <c r="F306" s="26"/>
      <c r="G306" s="28"/>
      <c r="H306" s="26"/>
      <c r="I306" s="26"/>
      <c r="J306" s="26"/>
      <c r="K306" s="34"/>
      <c r="L306" s="28"/>
      <c r="M306" s="28"/>
      <c r="N306" s="26"/>
    </row>
    <row r="307" spans="1:14">
      <c r="A307" s="26"/>
      <c r="B307" s="27"/>
      <c r="C307" s="26"/>
      <c r="D307" s="27"/>
      <c r="E307" s="26"/>
      <c r="F307" s="26"/>
      <c r="G307" s="28"/>
      <c r="H307" s="26"/>
      <c r="I307" s="26"/>
      <c r="J307" s="26"/>
      <c r="K307" s="34"/>
      <c r="L307" s="28"/>
      <c r="M307" s="28"/>
      <c r="N307" s="26"/>
    </row>
    <row r="308" spans="1:14">
      <c r="A308" s="26"/>
      <c r="B308" s="27"/>
      <c r="C308" s="26"/>
      <c r="D308" s="27"/>
      <c r="E308" s="26"/>
      <c r="F308" s="26"/>
      <c r="G308" s="28"/>
      <c r="H308" s="26"/>
      <c r="I308" s="26"/>
      <c r="J308" s="26"/>
      <c r="K308" s="34"/>
      <c r="L308" s="28"/>
      <c r="M308" s="28"/>
      <c r="N308" s="26"/>
    </row>
    <row r="309" spans="1:14">
      <c r="A309" s="26"/>
      <c r="B309" s="27"/>
      <c r="C309" s="26"/>
      <c r="D309" s="27"/>
      <c r="E309" s="26"/>
      <c r="F309" s="26"/>
      <c r="G309" s="28"/>
      <c r="H309" s="26"/>
      <c r="I309" s="26"/>
      <c r="J309" s="26"/>
      <c r="K309" s="34"/>
      <c r="L309" s="28"/>
      <c r="M309" s="28"/>
      <c r="N309" s="26"/>
    </row>
    <row r="310" spans="1:14">
      <c r="A310" s="26"/>
      <c r="B310" s="27"/>
      <c r="C310" s="26"/>
      <c r="D310" s="27"/>
      <c r="E310" s="26"/>
      <c r="F310" s="26"/>
      <c r="G310" s="28"/>
      <c r="H310" s="26"/>
      <c r="I310" s="26"/>
      <c r="J310" s="26"/>
      <c r="K310" s="34"/>
      <c r="L310" s="28"/>
      <c r="M310" s="28"/>
      <c r="N310" s="26"/>
    </row>
    <row r="311" spans="1:14">
      <c r="A311" s="26"/>
      <c r="B311" s="27"/>
      <c r="C311" s="26"/>
      <c r="D311" s="27"/>
      <c r="E311" s="26"/>
      <c r="F311" s="26"/>
      <c r="G311" s="28"/>
      <c r="H311" s="26"/>
      <c r="I311" s="26"/>
      <c r="J311" s="26"/>
      <c r="K311" s="34"/>
      <c r="L311" s="28"/>
      <c r="M311" s="28"/>
      <c r="N311" s="26"/>
    </row>
    <row r="312" spans="1:14">
      <c r="A312" s="26"/>
      <c r="B312" s="27"/>
      <c r="C312" s="26"/>
      <c r="D312" s="27"/>
      <c r="E312" s="26"/>
      <c r="F312" s="26"/>
      <c r="G312" s="28"/>
      <c r="H312" s="26"/>
      <c r="I312" s="26"/>
      <c r="J312" s="26"/>
      <c r="K312" s="34"/>
      <c r="L312" s="28"/>
      <c r="M312" s="28"/>
      <c r="N312" s="26"/>
    </row>
    <row r="313" spans="1:14">
      <c r="A313" s="26"/>
      <c r="B313" s="27"/>
      <c r="C313" s="26"/>
      <c r="D313" s="27"/>
      <c r="E313" s="26"/>
      <c r="F313" s="26"/>
      <c r="G313" s="28"/>
      <c r="H313" s="26"/>
      <c r="I313" s="26"/>
      <c r="J313" s="26"/>
      <c r="K313" s="34"/>
      <c r="L313" s="28"/>
      <c r="M313" s="28"/>
      <c r="N313" s="26"/>
    </row>
    <row r="314" spans="1:14">
      <c r="A314" s="26"/>
      <c r="B314" s="27"/>
      <c r="C314" s="26"/>
      <c r="D314" s="27"/>
      <c r="E314" s="26"/>
      <c r="F314" s="26"/>
      <c r="G314" s="28"/>
      <c r="H314" s="26"/>
      <c r="I314" s="26"/>
      <c r="J314" s="26"/>
      <c r="K314" s="34"/>
      <c r="L314" s="28"/>
      <c r="M314" s="28"/>
      <c r="N314" s="26"/>
    </row>
    <row r="315" spans="1:14">
      <c r="A315" s="26"/>
      <c r="B315" s="27"/>
      <c r="C315" s="26"/>
      <c r="D315" s="27"/>
      <c r="E315" s="26"/>
      <c r="F315" s="26"/>
      <c r="G315" s="28"/>
      <c r="H315" s="26"/>
      <c r="I315" s="26"/>
      <c r="J315" s="26"/>
      <c r="K315" s="34"/>
      <c r="L315" s="28"/>
      <c r="M315" s="28"/>
      <c r="N315" s="26"/>
    </row>
    <row r="316" spans="1:14">
      <c r="A316" s="26"/>
      <c r="B316" s="27"/>
      <c r="C316" s="26"/>
      <c r="D316" s="27"/>
      <c r="E316" s="26"/>
      <c r="F316" s="26"/>
      <c r="G316" s="28"/>
      <c r="H316" s="26"/>
      <c r="I316" s="26"/>
      <c r="J316" s="26"/>
      <c r="K316" s="34"/>
      <c r="L316" s="28"/>
      <c r="M316" s="28"/>
      <c r="N316" s="26"/>
    </row>
    <row r="317" spans="1:14">
      <c r="A317" s="26"/>
      <c r="B317" s="27"/>
      <c r="C317" s="26"/>
      <c r="D317" s="27"/>
      <c r="E317" s="26"/>
      <c r="F317" s="26"/>
      <c r="G317" s="28"/>
      <c r="H317" s="26"/>
      <c r="I317" s="26"/>
      <c r="J317" s="26"/>
      <c r="K317" s="34"/>
      <c r="L317" s="28"/>
      <c r="M317" s="28"/>
      <c r="N317" s="26"/>
    </row>
    <row r="318" spans="1:14">
      <c r="A318" s="26"/>
      <c r="B318" s="27"/>
      <c r="C318" s="26"/>
      <c r="D318" s="27"/>
      <c r="E318" s="26"/>
      <c r="F318" s="26"/>
      <c r="G318" s="28"/>
      <c r="H318" s="26"/>
      <c r="I318" s="26"/>
      <c r="J318" s="26"/>
      <c r="K318" s="34"/>
      <c r="L318" s="28"/>
      <c r="M318" s="28"/>
      <c r="N318" s="26"/>
    </row>
    <row r="319" spans="1:14">
      <c r="A319" s="26"/>
      <c r="B319" s="27"/>
      <c r="C319" s="26"/>
      <c r="D319" s="27"/>
      <c r="E319" s="26"/>
      <c r="F319" s="26"/>
      <c r="G319" s="28"/>
      <c r="H319" s="26"/>
      <c r="I319" s="26"/>
      <c r="J319" s="26"/>
      <c r="K319" s="34"/>
      <c r="L319" s="28"/>
      <c r="M319" s="28"/>
      <c r="N319" s="26"/>
    </row>
    <row r="320" spans="1:14">
      <c r="A320" s="26"/>
      <c r="B320" s="27"/>
      <c r="C320" s="26"/>
      <c r="D320" s="27"/>
      <c r="E320" s="26"/>
      <c r="F320" s="26"/>
      <c r="G320" s="28"/>
      <c r="H320" s="26"/>
      <c r="I320" s="26"/>
      <c r="J320" s="26"/>
      <c r="K320" s="34"/>
      <c r="L320" s="28"/>
      <c r="M320" s="28"/>
      <c r="N320" s="26"/>
    </row>
    <row r="321" spans="1:14">
      <c r="A321" s="26"/>
      <c r="B321" s="27"/>
      <c r="C321" s="26"/>
      <c r="D321" s="27"/>
      <c r="E321" s="26"/>
      <c r="F321" s="26"/>
      <c r="G321" s="28"/>
      <c r="H321" s="26"/>
      <c r="I321" s="26"/>
      <c r="J321" s="26"/>
      <c r="K321" s="34"/>
      <c r="L321" s="28"/>
      <c r="M321" s="28"/>
      <c r="N321" s="26"/>
    </row>
    <row r="322" spans="1:14">
      <c r="A322" s="26"/>
      <c r="B322" s="27"/>
      <c r="C322" s="26"/>
      <c r="D322" s="27"/>
      <c r="E322" s="26"/>
      <c r="F322" s="26"/>
      <c r="G322" s="28"/>
      <c r="H322" s="26"/>
      <c r="I322" s="26"/>
      <c r="J322" s="26"/>
      <c r="K322" s="34"/>
      <c r="L322" s="28"/>
      <c r="M322" s="28"/>
      <c r="N322" s="26"/>
    </row>
    <row r="323" spans="1:14">
      <c r="A323" s="26"/>
      <c r="B323" s="27"/>
      <c r="C323" s="26"/>
      <c r="D323" s="27"/>
      <c r="E323" s="26"/>
      <c r="F323" s="26"/>
      <c r="G323" s="28"/>
      <c r="H323" s="26"/>
      <c r="I323" s="26"/>
      <c r="J323" s="26"/>
      <c r="K323" s="34"/>
      <c r="L323" s="28"/>
      <c r="M323" s="28"/>
      <c r="N323" s="26"/>
    </row>
    <row r="324" spans="1:14">
      <c r="A324" s="26"/>
      <c r="B324" s="27"/>
      <c r="C324" s="26"/>
      <c r="D324" s="27"/>
      <c r="E324" s="26"/>
      <c r="F324" s="26"/>
      <c r="G324" s="28"/>
      <c r="H324" s="26"/>
      <c r="I324" s="26"/>
      <c r="J324" s="26"/>
      <c r="K324" s="34"/>
      <c r="L324" s="28"/>
      <c r="M324" s="28"/>
      <c r="N324" s="26"/>
    </row>
    <row r="325" spans="1:14">
      <c r="A325" s="26"/>
      <c r="B325" s="27"/>
      <c r="C325" s="26"/>
      <c r="D325" s="27"/>
      <c r="E325" s="26"/>
      <c r="F325" s="26"/>
      <c r="G325" s="28"/>
      <c r="H325" s="26"/>
      <c r="I325" s="26"/>
      <c r="J325" s="26"/>
      <c r="K325" s="34"/>
      <c r="L325" s="28"/>
      <c r="M325" s="28"/>
      <c r="N325" s="26"/>
    </row>
    <row r="326" spans="1:14">
      <c r="A326" s="26"/>
      <c r="B326" s="27"/>
      <c r="C326" s="26"/>
      <c r="D326" s="27"/>
      <c r="E326" s="26"/>
      <c r="F326" s="26"/>
      <c r="G326" s="28"/>
      <c r="H326" s="26"/>
      <c r="I326" s="26"/>
      <c r="J326" s="26"/>
      <c r="K326" s="34"/>
      <c r="L326" s="28"/>
      <c r="M326" s="28"/>
      <c r="N326" s="26"/>
    </row>
    <row r="327" spans="1:14">
      <c r="A327" s="26"/>
      <c r="B327" s="27"/>
      <c r="C327" s="26"/>
      <c r="D327" s="27"/>
      <c r="E327" s="26"/>
      <c r="F327" s="26"/>
      <c r="G327" s="28"/>
      <c r="H327" s="26"/>
      <c r="I327" s="26"/>
      <c r="J327" s="26"/>
      <c r="K327" s="34"/>
      <c r="L327" s="28"/>
      <c r="M327" s="28"/>
      <c r="N327" s="26"/>
    </row>
    <row r="328" spans="1:14">
      <c r="A328" s="26"/>
      <c r="B328" s="27"/>
      <c r="C328" s="26"/>
      <c r="D328" s="27"/>
      <c r="E328" s="26"/>
      <c r="F328" s="26"/>
      <c r="G328" s="28"/>
      <c r="H328" s="26"/>
      <c r="I328" s="26"/>
      <c r="J328" s="26"/>
      <c r="K328" s="34"/>
      <c r="L328" s="28"/>
      <c r="M328" s="28"/>
      <c r="N328" s="26"/>
    </row>
    <row r="329" spans="1:14">
      <c r="A329" s="26"/>
      <c r="B329" s="27"/>
      <c r="C329" s="26"/>
      <c r="D329" s="27"/>
      <c r="E329" s="26"/>
      <c r="F329" s="26"/>
      <c r="G329" s="28"/>
      <c r="H329" s="26"/>
      <c r="I329" s="26"/>
      <c r="J329" s="26"/>
      <c r="K329" s="34"/>
      <c r="L329" s="28"/>
      <c r="M329" s="28"/>
      <c r="N329" s="26"/>
    </row>
    <row r="330" spans="1:14">
      <c r="A330" s="26"/>
      <c r="B330" s="27"/>
      <c r="C330" s="26"/>
      <c r="D330" s="27"/>
      <c r="E330" s="26"/>
      <c r="F330" s="26"/>
      <c r="G330" s="28"/>
      <c r="H330" s="26"/>
      <c r="I330" s="26"/>
      <c r="J330" s="26"/>
      <c r="K330" s="34"/>
      <c r="L330" s="28"/>
      <c r="M330" s="28"/>
      <c r="N330" s="26"/>
    </row>
    <row r="331" spans="1:14">
      <c r="A331" s="26"/>
      <c r="B331" s="27"/>
      <c r="C331" s="26"/>
      <c r="D331" s="27"/>
      <c r="E331" s="26"/>
      <c r="F331" s="26"/>
      <c r="G331" s="28"/>
      <c r="H331" s="26"/>
      <c r="I331" s="26"/>
      <c r="J331" s="26"/>
      <c r="K331" s="34"/>
      <c r="L331" s="28"/>
      <c r="M331" s="28"/>
      <c r="N331" s="26"/>
    </row>
    <row r="332" spans="1:14">
      <c r="A332" s="26"/>
      <c r="B332" s="27"/>
      <c r="C332" s="26"/>
      <c r="D332" s="27"/>
      <c r="E332" s="26"/>
      <c r="F332" s="26"/>
      <c r="G332" s="28"/>
      <c r="H332" s="26"/>
      <c r="I332" s="26"/>
      <c r="J332" s="26"/>
      <c r="K332" s="34"/>
      <c r="L332" s="28"/>
      <c r="M332" s="28"/>
      <c r="N332" s="26"/>
    </row>
    <row r="333" spans="1:14">
      <c r="A333" s="26"/>
      <c r="B333" s="27"/>
      <c r="C333" s="26"/>
      <c r="D333" s="27"/>
      <c r="E333" s="26"/>
      <c r="F333" s="26"/>
      <c r="G333" s="28"/>
      <c r="H333" s="26"/>
      <c r="I333" s="26"/>
      <c r="J333" s="26"/>
      <c r="K333" s="34"/>
      <c r="L333" s="28"/>
      <c r="M333" s="28"/>
      <c r="N333" s="26"/>
    </row>
    <row r="334" spans="1:14">
      <c r="A334" s="26"/>
      <c r="B334" s="27"/>
      <c r="C334" s="26"/>
      <c r="D334" s="27"/>
      <c r="E334" s="26"/>
      <c r="F334" s="26"/>
      <c r="G334" s="28"/>
      <c r="H334" s="26"/>
      <c r="I334" s="26"/>
      <c r="J334" s="26"/>
      <c r="K334" s="34"/>
      <c r="L334" s="28"/>
      <c r="M334" s="28"/>
      <c r="N334" s="26"/>
    </row>
    <row r="335" spans="1:14">
      <c r="A335" s="26"/>
      <c r="B335" s="27"/>
      <c r="C335" s="26"/>
      <c r="D335" s="27"/>
      <c r="E335" s="26"/>
      <c r="F335" s="26"/>
      <c r="G335" s="28"/>
      <c r="H335" s="26"/>
      <c r="I335" s="26"/>
      <c r="J335" s="26"/>
      <c r="K335" s="34"/>
      <c r="L335" s="28"/>
      <c r="M335" s="28"/>
      <c r="N335" s="26"/>
    </row>
    <row r="336" spans="1:14">
      <c r="A336" s="26"/>
      <c r="B336" s="27"/>
      <c r="C336" s="26"/>
      <c r="D336" s="27"/>
      <c r="E336" s="26"/>
      <c r="F336" s="26"/>
      <c r="G336" s="28"/>
      <c r="H336" s="26"/>
      <c r="I336" s="26"/>
      <c r="J336" s="26"/>
      <c r="K336" s="34"/>
      <c r="L336" s="28"/>
      <c r="M336" s="28"/>
      <c r="N336" s="26"/>
    </row>
    <row r="337" spans="1:14">
      <c r="A337" s="26"/>
      <c r="B337" s="27"/>
      <c r="C337" s="26"/>
      <c r="D337" s="27"/>
      <c r="E337" s="26"/>
      <c r="F337" s="26"/>
      <c r="G337" s="28"/>
      <c r="H337" s="26"/>
      <c r="I337" s="26"/>
      <c r="J337" s="26"/>
      <c r="K337" s="34"/>
      <c r="L337" s="28"/>
      <c r="M337" s="28"/>
      <c r="N337" s="26"/>
    </row>
    <row r="338" spans="1:14">
      <c r="A338" s="26"/>
      <c r="B338" s="27"/>
      <c r="C338" s="26"/>
      <c r="D338" s="27"/>
      <c r="E338" s="26"/>
      <c r="F338" s="26"/>
      <c r="G338" s="28"/>
      <c r="H338" s="26"/>
      <c r="I338" s="26"/>
      <c r="J338" s="26"/>
      <c r="K338" s="34"/>
      <c r="L338" s="28"/>
      <c r="M338" s="28"/>
      <c r="N338" s="26"/>
    </row>
    <row r="339" spans="1:14">
      <c r="A339" s="26"/>
      <c r="B339" s="27"/>
      <c r="C339" s="26"/>
      <c r="D339" s="27"/>
      <c r="E339" s="26"/>
      <c r="F339" s="26"/>
      <c r="G339" s="28"/>
      <c r="H339" s="26"/>
      <c r="I339" s="26"/>
      <c r="J339" s="26"/>
      <c r="K339" s="34"/>
      <c r="L339" s="28"/>
      <c r="M339" s="28"/>
      <c r="N339" s="26"/>
    </row>
    <row r="340" spans="1:14">
      <c r="A340" s="26"/>
      <c r="B340" s="27"/>
      <c r="C340" s="26"/>
      <c r="D340" s="27"/>
      <c r="E340" s="26"/>
      <c r="F340" s="26"/>
      <c r="G340" s="28"/>
      <c r="H340" s="26"/>
      <c r="I340" s="26"/>
      <c r="J340" s="26"/>
      <c r="K340" s="34"/>
      <c r="L340" s="28"/>
      <c r="M340" s="28"/>
      <c r="N340" s="26"/>
    </row>
    <row r="341" spans="1:14">
      <c r="A341" s="26"/>
      <c r="B341" s="27"/>
      <c r="C341" s="26"/>
      <c r="D341" s="27"/>
      <c r="E341" s="26"/>
      <c r="F341" s="26"/>
      <c r="G341" s="28"/>
      <c r="H341" s="26"/>
      <c r="I341" s="26"/>
      <c r="J341" s="26"/>
      <c r="K341" s="34"/>
      <c r="L341" s="28"/>
      <c r="M341" s="28"/>
      <c r="N341" s="26"/>
    </row>
    <row r="342" spans="1:14">
      <c r="A342" s="26"/>
      <c r="B342" s="27"/>
      <c r="C342" s="26"/>
      <c r="D342" s="27"/>
      <c r="E342" s="26"/>
      <c r="F342" s="26"/>
      <c r="G342" s="28"/>
      <c r="H342" s="26"/>
      <c r="I342" s="26"/>
      <c r="J342" s="26"/>
      <c r="K342" s="34"/>
      <c r="L342" s="28"/>
      <c r="M342" s="28"/>
      <c r="N342" s="26"/>
    </row>
    <row r="343" spans="1:14">
      <c r="A343" s="26"/>
      <c r="B343" s="27"/>
      <c r="C343" s="26"/>
      <c r="D343" s="27"/>
      <c r="E343" s="26"/>
      <c r="F343" s="26"/>
      <c r="G343" s="28"/>
      <c r="H343" s="26"/>
      <c r="I343" s="26"/>
      <c r="J343" s="26"/>
      <c r="K343" s="34"/>
      <c r="L343" s="28"/>
      <c r="M343" s="28"/>
      <c r="N343" s="26"/>
    </row>
    <row r="344" spans="1:14">
      <c r="A344" s="26"/>
      <c r="B344" s="27"/>
      <c r="C344" s="26"/>
      <c r="D344" s="27"/>
      <c r="E344" s="26"/>
      <c r="F344" s="26"/>
      <c r="G344" s="28"/>
      <c r="H344" s="26"/>
      <c r="I344" s="26"/>
      <c r="J344" s="26"/>
      <c r="K344" s="34"/>
      <c r="L344" s="28"/>
      <c r="M344" s="28"/>
      <c r="N344" s="26"/>
    </row>
    <row r="345" spans="1:14">
      <c r="A345" s="26"/>
      <c r="B345" s="27"/>
      <c r="C345" s="26"/>
      <c r="D345" s="27"/>
      <c r="E345" s="26"/>
      <c r="F345" s="26"/>
      <c r="G345" s="28"/>
      <c r="H345" s="26"/>
      <c r="I345" s="26"/>
      <c r="J345" s="26"/>
      <c r="K345" s="34"/>
      <c r="L345" s="28"/>
      <c r="M345" s="28"/>
      <c r="N345" s="26"/>
    </row>
    <row r="346" spans="1:14">
      <c r="A346" s="26"/>
      <c r="B346" s="27"/>
      <c r="C346" s="26"/>
      <c r="D346" s="27"/>
      <c r="E346" s="26"/>
      <c r="F346" s="26"/>
      <c r="G346" s="28"/>
      <c r="H346" s="26"/>
      <c r="I346" s="26"/>
      <c r="J346" s="26"/>
      <c r="K346" s="34"/>
      <c r="L346" s="28"/>
      <c r="M346" s="28"/>
      <c r="N346" s="26"/>
    </row>
    <row r="347" spans="1:14">
      <c r="A347" s="26"/>
      <c r="B347" s="27"/>
      <c r="C347" s="26"/>
      <c r="D347" s="27"/>
      <c r="E347" s="26"/>
      <c r="F347" s="26"/>
      <c r="G347" s="28"/>
      <c r="H347" s="26"/>
      <c r="I347" s="26"/>
      <c r="J347" s="26"/>
      <c r="K347" s="34"/>
      <c r="L347" s="28"/>
      <c r="M347" s="28"/>
      <c r="N347" s="26"/>
    </row>
    <row r="348" spans="1:14">
      <c r="A348" s="26"/>
      <c r="B348" s="27"/>
      <c r="C348" s="26"/>
      <c r="D348" s="27"/>
      <c r="E348" s="26"/>
      <c r="F348" s="26"/>
      <c r="G348" s="28"/>
      <c r="H348" s="26"/>
      <c r="I348" s="26"/>
      <c r="J348" s="26"/>
      <c r="K348" s="34"/>
      <c r="L348" s="28"/>
      <c r="M348" s="28"/>
      <c r="N348" s="26"/>
    </row>
    <row r="349" spans="1:14">
      <c r="A349" s="26"/>
      <c r="B349" s="27"/>
      <c r="C349" s="26"/>
      <c r="D349" s="27"/>
      <c r="E349" s="26"/>
      <c r="F349" s="26"/>
      <c r="G349" s="28"/>
      <c r="H349" s="26"/>
      <c r="I349" s="26"/>
      <c r="J349" s="26"/>
      <c r="K349" s="34"/>
      <c r="L349" s="28"/>
      <c r="M349" s="28"/>
      <c r="N349" s="26"/>
    </row>
    <row r="350" spans="1:14">
      <c r="A350" s="26"/>
      <c r="B350" s="27"/>
      <c r="C350" s="26"/>
      <c r="D350" s="27"/>
      <c r="E350" s="26"/>
      <c r="F350" s="26"/>
      <c r="G350" s="28"/>
      <c r="H350" s="26"/>
      <c r="I350" s="26"/>
      <c r="J350" s="26"/>
      <c r="K350" s="34"/>
      <c r="L350" s="28"/>
      <c r="M350" s="28"/>
      <c r="N350" s="26"/>
    </row>
    <row r="351" spans="1:14">
      <c r="A351" s="26"/>
      <c r="B351" s="27"/>
      <c r="C351" s="26"/>
      <c r="D351" s="27"/>
      <c r="E351" s="26"/>
      <c r="F351" s="26"/>
      <c r="G351" s="28"/>
      <c r="H351" s="26"/>
      <c r="I351" s="26"/>
      <c r="J351" s="26"/>
      <c r="K351" s="34"/>
      <c r="L351" s="28"/>
      <c r="M351" s="28"/>
      <c r="N351" s="26"/>
    </row>
    <row r="352" spans="1:14">
      <c r="A352" s="26"/>
      <c r="B352" s="27"/>
      <c r="C352" s="26"/>
      <c r="D352" s="27"/>
      <c r="E352" s="26"/>
      <c r="F352" s="26"/>
      <c r="G352" s="28"/>
      <c r="H352" s="26"/>
      <c r="I352" s="26"/>
      <c r="J352" s="26"/>
      <c r="K352" s="34"/>
      <c r="L352" s="28"/>
      <c r="M352" s="28"/>
      <c r="N352" s="26"/>
    </row>
    <row r="353" spans="1:14">
      <c r="A353" s="26"/>
      <c r="B353" s="27"/>
      <c r="C353" s="26"/>
      <c r="D353" s="27"/>
      <c r="E353" s="26"/>
      <c r="F353" s="26"/>
      <c r="G353" s="28"/>
      <c r="H353" s="26"/>
      <c r="I353" s="26"/>
      <c r="J353" s="26"/>
      <c r="K353" s="34"/>
      <c r="L353" s="28"/>
      <c r="M353" s="28"/>
      <c r="N353" s="26"/>
    </row>
    <row r="354" spans="1:14">
      <c r="A354" s="26"/>
      <c r="B354" s="27"/>
      <c r="C354" s="26"/>
      <c r="D354" s="27"/>
      <c r="E354" s="26"/>
      <c r="F354" s="26"/>
      <c r="G354" s="28"/>
      <c r="H354" s="26"/>
      <c r="I354" s="26"/>
      <c r="J354" s="26"/>
      <c r="K354" s="34"/>
      <c r="L354" s="28"/>
      <c r="M354" s="28"/>
      <c r="N354" s="26"/>
    </row>
    <row r="355" spans="1:14">
      <c r="A355" s="26"/>
      <c r="B355" s="27"/>
      <c r="C355" s="26"/>
      <c r="D355" s="27"/>
      <c r="E355" s="26"/>
      <c r="F355" s="26"/>
      <c r="G355" s="28"/>
      <c r="H355" s="26"/>
      <c r="I355" s="26"/>
      <c r="J355" s="26"/>
      <c r="K355" s="34"/>
      <c r="L355" s="28"/>
      <c r="M355" s="28"/>
      <c r="N355" s="26"/>
    </row>
    <row r="356" spans="1:14">
      <c r="A356" s="26"/>
      <c r="B356" s="27"/>
      <c r="C356" s="26"/>
      <c r="D356" s="27"/>
      <c r="E356" s="26"/>
      <c r="F356" s="26"/>
      <c r="G356" s="28"/>
      <c r="H356" s="26"/>
      <c r="I356" s="26"/>
      <c r="J356" s="26"/>
      <c r="K356" s="34"/>
      <c r="L356" s="28"/>
      <c r="M356" s="28"/>
      <c r="N356" s="26"/>
    </row>
    <row r="357" spans="1:14">
      <c r="A357" s="26"/>
      <c r="B357" s="27"/>
      <c r="C357" s="26"/>
      <c r="D357" s="27"/>
      <c r="E357" s="26"/>
      <c r="F357" s="26"/>
      <c r="G357" s="28"/>
      <c r="H357" s="26"/>
      <c r="I357" s="26"/>
      <c r="J357" s="26"/>
      <c r="K357" s="34"/>
      <c r="L357" s="28"/>
      <c r="M357" s="28"/>
      <c r="N357" s="26"/>
    </row>
    <row r="358" spans="1:14">
      <c r="A358" s="26"/>
      <c r="B358" s="27"/>
      <c r="C358" s="26"/>
      <c r="D358" s="27"/>
      <c r="E358" s="26"/>
      <c r="F358" s="26"/>
      <c r="G358" s="28"/>
      <c r="H358" s="26"/>
      <c r="I358" s="26"/>
      <c r="J358" s="26"/>
      <c r="K358" s="34"/>
      <c r="L358" s="28"/>
      <c r="M358" s="28"/>
      <c r="N358" s="26"/>
    </row>
    <row r="359" spans="1:14">
      <c r="A359" s="26"/>
      <c r="B359" s="27"/>
      <c r="C359" s="26"/>
      <c r="D359" s="27"/>
      <c r="E359" s="26"/>
      <c r="F359" s="26"/>
      <c r="G359" s="28"/>
      <c r="H359" s="26"/>
      <c r="I359" s="26"/>
      <c r="J359" s="26"/>
      <c r="K359" s="34"/>
      <c r="L359" s="28"/>
      <c r="M359" s="28"/>
      <c r="N359" s="26"/>
    </row>
    <row r="360" spans="1:14">
      <c r="A360" s="26"/>
      <c r="B360" s="27"/>
      <c r="C360" s="26"/>
      <c r="D360" s="27"/>
      <c r="E360" s="26"/>
      <c r="F360" s="26"/>
      <c r="G360" s="28"/>
      <c r="H360" s="26"/>
      <c r="I360" s="26"/>
      <c r="J360" s="26"/>
      <c r="K360" s="34"/>
      <c r="L360" s="28"/>
      <c r="M360" s="28"/>
      <c r="N360" s="26"/>
    </row>
    <row r="361" spans="1:14">
      <c r="A361" s="26"/>
      <c r="B361" s="27"/>
      <c r="C361" s="26"/>
      <c r="D361" s="27"/>
      <c r="E361" s="26"/>
      <c r="F361" s="26"/>
      <c r="G361" s="28"/>
      <c r="H361" s="26"/>
      <c r="I361" s="26"/>
      <c r="J361" s="26"/>
      <c r="K361" s="34"/>
      <c r="L361" s="28"/>
      <c r="M361" s="28"/>
      <c r="N361" s="26"/>
    </row>
    <row r="362" spans="1:14">
      <c r="A362" s="26"/>
      <c r="B362" s="27"/>
      <c r="C362" s="26"/>
      <c r="D362" s="27"/>
      <c r="E362" s="26"/>
      <c r="F362" s="26"/>
      <c r="G362" s="28"/>
      <c r="H362" s="26"/>
      <c r="I362" s="26"/>
      <c r="J362" s="26"/>
      <c r="K362" s="34"/>
      <c r="L362" s="28"/>
      <c r="M362" s="28"/>
      <c r="N362" s="26"/>
    </row>
    <row r="363" spans="1:14">
      <c r="A363" s="26"/>
      <c r="B363" s="27"/>
      <c r="C363" s="26"/>
      <c r="D363" s="27"/>
      <c r="E363" s="26"/>
      <c r="F363" s="26"/>
      <c r="G363" s="28"/>
      <c r="H363" s="26"/>
      <c r="I363" s="26"/>
      <c r="J363" s="26"/>
      <c r="K363" s="34"/>
      <c r="L363" s="28"/>
      <c r="M363" s="28"/>
      <c r="N363" s="26"/>
    </row>
    <row r="364" spans="1:14">
      <c r="A364" s="26"/>
      <c r="B364" s="27"/>
      <c r="C364" s="26"/>
      <c r="D364" s="27"/>
      <c r="E364" s="26"/>
      <c r="F364" s="26"/>
      <c r="G364" s="28"/>
      <c r="H364" s="26"/>
      <c r="I364" s="26"/>
      <c r="J364" s="26"/>
      <c r="K364" s="34"/>
      <c r="L364" s="28"/>
      <c r="M364" s="28"/>
      <c r="N364" s="26"/>
    </row>
    <row r="365" spans="1:14">
      <c r="A365" s="26"/>
      <c r="B365" s="27"/>
      <c r="C365" s="26"/>
      <c r="D365" s="27"/>
      <c r="E365" s="26"/>
      <c r="F365" s="26"/>
      <c r="G365" s="28"/>
      <c r="H365" s="26"/>
      <c r="I365" s="26"/>
      <c r="J365" s="26"/>
      <c r="K365" s="34"/>
      <c r="L365" s="28"/>
      <c r="M365" s="28"/>
      <c r="N365" s="26"/>
    </row>
    <row r="366" spans="1:14">
      <c r="A366" s="26"/>
      <c r="B366" s="27"/>
      <c r="C366" s="26"/>
      <c r="D366" s="27"/>
      <c r="E366" s="26"/>
      <c r="F366" s="26"/>
      <c r="G366" s="28"/>
      <c r="H366" s="26"/>
      <c r="I366" s="26"/>
      <c r="J366" s="26"/>
      <c r="K366" s="34"/>
      <c r="L366" s="28"/>
      <c r="M366" s="28"/>
      <c r="N366" s="26"/>
    </row>
    <row r="367" spans="1:14">
      <c r="A367" s="26"/>
      <c r="B367" s="27"/>
      <c r="C367" s="26"/>
      <c r="D367" s="27"/>
      <c r="E367" s="26"/>
      <c r="F367" s="26"/>
      <c r="G367" s="28"/>
      <c r="H367" s="26"/>
      <c r="I367" s="26"/>
      <c r="J367" s="26"/>
      <c r="K367" s="34"/>
      <c r="L367" s="28"/>
      <c r="M367" s="28"/>
      <c r="N367" s="26"/>
    </row>
    <row r="368" spans="1:14">
      <c r="A368" s="26"/>
      <c r="B368" s="27"/>
      <c r="C368" s="26"/>
      <c r="D368" s="27"/>
      <c r="E368" s="26"/>
      <c r="F368" s="26"/>
      <c r="G368" s="28"/>
      <c r="H368" s="26"/>
      <c r="I368" s="26"/>
      <c r="J368" s="26"/>
      <c r="K368" s="34"/>
      <c r="L368" s="28"/>
      <c r="M368" s="28"/>
      <c r="N368" s="26"/>
    </row>
    <row r="369" spans="1:14">
      <c r="A369" s="26"/>
      <c r="B369" s="27"/>
      <c r="C369" s="26"/>
      <c r="D369" s="27"/>
      <c r="E369" s="26"/>
      <c r="F369" s="26"/>
      <c r="G369" s="28"/>
      <c r="H369" s="26"/>
      <c r="I369" s="26"/>
      <c r="J369" s="26"/>
      <c r="K369" s="34"/>
      <c r="L369" s="28"/>
      <c r="M369" s="28"/>
      <c r="N369" s="26"/>
    </row>
    <row r="370" spans="1:14">
      <c r="A370" s="26"/>
      <c r="B370" s="27"/>
      <c r="C370" s="26"/>
      <c r="D370" s="27"/>
      <c r="E370" s="26"/>
      <c r="F370" s="26"/>
      <c r="G370" s="28"/>
      <c r="H370" s="26"/>
      <c r="I370" s="26"/>
      <c r="J370" s="26"/>
      <c r="K370" s="34"/>
      <c r="L370" s="28"/>
      <c r="M370" s="28"/>
      <c r="N370" s="26"/>
    </row>
    <row r="371" spans="1:14">
      <c r="A371" s="26"/>
      <c r="B371" s="27"/>
      <c r="C371" s="26"/>
      <c r="D371" s="27"/>
      <c r="E371" s="26"/>
      <c r="F371" s="26"/>
      <c r="G371" s="28"/>
      <c r="H371" s="26"/>
      <c r="I371" s="26"/>
      <c r="J371" s="26"/>
      <c r="K371" s="34"/>
      <c r="L371" s="28"/>
      <c r="M371" s="28"/>
      <c r="N371" s="26"/>
    </row>
    <row r="372" spans="1:14">
      <c r="A372" s="26"/>
      <c r="B372" s="27"/>
      <c r="C372" s="26"/>
      <c r="D372" s="27"/>
      <c r="E372" s="26"/>
      <c r="F372" s="26"/>
      <c r="G372" s="28"/>
      <c r="H372" s="26"/>
      <c r="I372" s="26"/>
      <c r="J372" s="26"/>
      <c r="K372" s="34"/>
      <c r="L372" s="28"/>
      <c r="M372" s="28"/>
      <c r="N372" s="26"/>
    </row>
    <row r="373" spans="1:14">
      <c r="A373" s="26"/>
      <c r="B373" s="27"/>
      <c r="C373" s="26"/>
      <c r="D373" s="27"/>
      <c r="E373" s="26"/>
      <c r="F373" s="26"/>
      <c r="G373" s="28"/>
      <c r="H373" s="26"/>
      <c r="I373" s="26"/>
      <c r="J373" s="26"/>
      <c r="K373" s="34"/>
      <c r="L373" s="28"/>
      <c r="M373" s="28"/>
      <c r="N373" s="26"/>
    </row>
    <row r="374" spans="1:14">
      <c r="A374" s="26"/>
      <c r="B374" s="27"/>
      <c r="C374" s="26"/>
      <c r="D374" s="27"/>
      <c r="E374" s="26"/>
      <c r="F374" s="26"/>
      <c r="G374" s="28"/>
      <c r="H374" s="26"/>
      <c r="I374" s="26"/>
      <c r="J374" s="26"/>
      <c r="K374" s="34"/>
      <c r="L374" s="28"/>
      <c r="M374" s="28"/>
      <c r="N374" s="26"/>
    </row>
    <row r="375" spans="1:14">
      <c r="A375" s="26"/>
      <c r="B375" s="27"/>
      <c r="C375" s="26"/>
      <c r="D375" s="27"/>
      <c r="E375" s="26"/>
      <c r="F375" s="26"/>
      <c r="G375" s="28"/>
      <c r="H375" s="26"/>
      <c r="I375" s="26"/>
      <c r="J375" s="26"/>
      <c r="K375" s="34"/>
      <c r="L375" s="28"/>
      <c r="M375" s="28"/>
      <c r="N375" s="26"/>
    </row>
    <row r="376" spans="1:14">
      <c r="A376" s="26"/>
      <c r="B376" s="27"/>
      <c r="C376" s="26"/>
      <c r="D376" s="27"/>
      <c r="E376" s="26"/>
      <c r="F376" s="26"/>
      <c r="G376" s="28"/>
      <c r="H376" s="26"/>
      <c r="I376" s="26"/>
      <c r="J376" s="26"/>
      <c r="K376" s="34"/>
      <c r="L376" s="28"/>
      <c r="M376" s="28"/>
      <c r="N376" s="26"/>
    </row>
    <row r="377" spans="1:14">
      <c r="A377" s="26"/>
      <c r="B377" s="27"/>
      <c r="C377" s="26"/>
      <c r="D377" s="27"/>
      <c r="E377" s="26"/>
      <c r="F377" s="26"/>
      <c r="G377" s="28"/>
      <c r="H377" s="26"/>
      <c r="I377" s="26"/>
      <c r="J377" s="26"/>
      <c r="K377" s="34"/>
      <c r="L377" s="28"/>
      <c r="M377" s="28"/>
      <c r="N377" s="26"/>
    </row>
    <row r="378" spans="1:14">
      <c r="A378" s="26"/>
      <c r="B378" s="27"/>
      <c r="C378" s="26"/>
      <c r="D378" s="27"/>
      <c r="E378" s="26"/>
      <c r="F378" s="26"/>
      <c r="G378" s="28"/>
      <c r="H378" s="26"/>
      <c r="I378" s="26"/>
      <c r="J378" s="26"/>
      <c r="K378" s="34"/>
      <c r="L378" s="28"/>
      <c r="M378" s="28"/>
      <c r="N378" s="26"/>
    </row>
    <row r="379" spans="1:14">
      <c r="A379" s="26"/>
      <c r="B379" s="27"/>
      <c r="C379" s="26"/>
      <c r="D379" s="27"/>
      <c r="E379" s="26"/>
      <c r="F379" s="26"/>
      <c r="G379" s="28"/>
      <c r="H379" s="26"/>
      <c r="I379" s="26"/>
      <c r="J379" s="26"/>
      <c r="K379" s="34"/>
      <c r="L379" s="28"/>
      <c r="M379" s="28"/>
      <c r="N379" s="26"/>
    </row>
    <row r="380" spans="1:14">
      <c r="A380" s="26"/>
      <c r="B380" s="27"/>
      <c r="C380" s="26"/>
      <c r="D380" s="27"/>
      <c r="E380" s="26"/>
      <c r="F380" s="26"/>
      <c r="G380" s="28"/>
      <c r="H380" s="26"/>
      <c r="I380" s="26"/>
      <c r="J380" s="26"/>
      <c r="K380" s="34"/>
      <c r="L380" s="28"/>
      <c r="M380" s="28"/>
      <c r="N380" s="26"/>
    </row>
    <row r="381" spans="1:14">
      <c r="A381" s="26"/>
      <c r="B381" s="27"/>
      <c r="C381" s="26"/>
      <c r="D381" s="27"/>
      <c r="E381" s="26"/>
      <c r="F381" s="26"/>
      <c r="G381" s="28"/>
      <c r="H381" s="26"/>
      <c r="I381" s="26"/>
      <c r="J381" s="26"/>
      <c r="K381" s="34"/>
      <c r="L381" s="28"/>
      <c r="M381" s="28"/>
      <c r="N381" s="26"/>
    </row>
    <row r="382" spans="1:14">
      <c r="A382" s="26"/>
      <c r="B382" s="27"/>
      <c r="C382" s="26"/>
      <c r="D382" s="27"/>
      <c r="E382" s="26"/>
      <c r="F382" s="26"/>
      <c r="G382" s="28"/>
      <c r="H382" s="26"/>
      <c r="I382" s="26"/>
      <c r="J382" s="26"/>
      <c r="K382" s="34"/>
      <c r="L382" s="28"/>
      <c r="M382" s="28"/>
      <c r="N382" s="26"/>
    </row>
    <row r="383" spans="1:14">
      <c r="A383" s="26"/>
      <c r="B383" s="27"/>
      <c r="C383" s="26"/>
      <c r="D383" s="27"/>
      <c r="E383" s="26"/>
      <c r="F383" s="26"/>
      <c r="G383" s="28"/>
      <c r="H383" s="26"/>
      <c r="I383" s="26"/>
      <c r="J383" s="26"/>
      <c r="K383" s="34"/>
      <c r="L383" s="28"/>
      <c r="M383" s="28"/>
      <c r="N383" s="26"/>
    </row>
    <row r="384" spans="1:14">
      <c r="A384" s="26"/>
      <c r="B384" s="27"/>
      <c r="C384" s="26"/>
      <c r="D384" s="27"/>
      <c r="E384" s="26"/>
      <c r="F384" s="26"/>
      <c r="G384" s="28"/>
      <c r="H384" s="26"/>
      <c r="I384" s="26"/>
      <c r="J384" s="26"/>
      <c r="K384" s="34"/>
      <c r="L384" s="28"/>
      <c r="M384" s="28"/>
      <c r="N384" s="26"/>
    </row>
    <row r="385" spans="1:14">
      <c r="A385" s="26"/>
      <c r="B385" s="27"/>
      <c r="C385" s="26"/>
      <c r="D385" s="27"/>
      <c r="E385" s="26"/>
      <c r="F385" s="26"/>
      <c r="G385" s="28"/>
      <c r="H385" s="26"/>
      <c r="I385" s="26"/>
      <c r="J385" s="26"/>
      <c r="K385" s="34"/>
      <c r="L385" s="28"/>
      <c r="M385" s="28"/>
      <c r="N385" s="26"/>
    </row>
    <row r="386" spans="1:14">
      <c r="A386" s="26"/>
      <c r="B386" s="27"/>
      <c r="C386" s="26"/>
      <c r="D386" s="27"/>
      <c r="E386" s="26"/>
      <c r="F386" s="26"/>
      <c r="G386" s="28"/>
      <c r="H386" s="26"/>
      <c r="I386" s="26"/>
      <c r="J386" s="26"/>
      <c r="K386" s="34"/>
      <c r="L386" s="28"/>
      <c r="M386" s="28"/>
      <c r="N386" s="26"/>
    </row>
    <row r="387" spans="1:14">
      <c r="A387" s="26"/>
      <c r="B387" s="27"/>
      <c r="C387" s="26"/>
      <c r="D387" s="27"/>
      <c r="E387" s="26"/>
      <c r="F387" s="26"/>
      <c r="G387" s="28"/>
      <c r="H387" s="26"/>
      <c r="I387" s="26"/>
      <c r="J387" s="26"/>
      <c r="K387" s="34"/>
      <c r="L387" s="28"/>
      <c r="M387" s="28"/>
      <c r="N387" s="26"/>
    </row>
    <row r="388" spans="1:14">
      <c r="A388" s="26"/>
      <c r="B388" s="27"/>
      <c r="C388" s="26"/>
      <c r="D388" s="27"/>
      <c r="E388" s="26"/>
      <c r="F388" s="26"/>
      <c r="G388" s="28"/>
      <c r="H388" s="26"/>
      <c r="I388" s="26"/>
      <c r="J388" s="26"/>
      <c r="K388" s="34"/>
      <c r="L388" s="28"/>
      <c r="M388" s="28"/>
      <c r="N388" s="26"/>
    </row>
    <row r="389" spans="1:14">
      <c r="A389" s="26"/>
      <c r="B389" s="27"/>
      <c r="C389" s="26"/>
      <c r="D389" s="27"/>
      <c r="E389" s="26"/>
      <c r="F389" s="26"/>
      <c r="G389" s="28"/>
      <c r="H389" s="26"/>
      <c r="I389" s="26"/>
      <c r="J389" s="26"/>
      <c r="K389" s="34"/>
      <c r="L389" s="28"/>
      <c r="M389" s="28"/>
      <c r="N389" s="26"/>
    </row>
    <row r="390" spans="1:14">
      <c r="A390" s="26"/>
      <c r="B390" s="27"/>
      <c r="C390" s="26"/>
      <c r="D390" s="27"/>
      <c r="E390" s="26"/>
      <c r="F390" s="26"/>
      <c r="G390" s="28"/>
      <c r="H390" s="26"/>
      <c r="I390" s="26"/>
      <c r="J390" s="26"/>
      <c r="K390" s="34"/>
      <c r="L390" s="28"/>
      <c r="M390" s="28"/>
      <c r="N390" s="26"/>
    </row>
    <row r="391" spans="1:14">
      <c r="A391" s="26"/>
      <c r="B391" s="27"/>
      <c r="C391" s="26"/>
      <c r="D391" s="27"/>
      <c r="E391" s="26"/>
      <c r="F391" s="26"/>
      <c r="G391" s="28"/>
      <c r="H391" s="26"/>
      <c r="I391" s="26"/>
      <c r="J391" s="26"/>
      <c r="K391" s="34"/>
      <c r="L391" s="28"/>
      <c r="M391" s="28"/>
      <c r="N391" s="26"/>
    </row>
    <row r="392" spans="1:14">
      <c r="A392" s="26"/>
      <c r="B392" s="27"/>
      <c r="C392" s="26"/>
      <c r="D392" s="27"/>
      <c r="E392" s="26"/>
      <c r="F392" s="26"/>
      <c r="G392" s="28"/>
      <c r="H392" s="26"/>
      <c r="I392" s="26"/>
      <c r="J392" s="26"/>
      <c r="K392" s="34"/>
      <c r="L392" s="28"/>
      <c r="M392" s="28"/>
      <c r="N392" s="26"/>
    </row>
    <row r="393" spans="1:14">
      <c r="A393" s="26"/>
      <c r="B393" s="27"/>
      <c r="C393" s="26"/>
      <c r="D393" s="27"/>
      <c r="E393" s="26"/>
      <c r="F393" s="26"/>
      <c r="G393" s="28"/>
      <c r="H393" s="26"/>
      <c r="I393" s="26"/>
      <c r="J393" s="26"/>
      <c r="K393" s="34"/>
      <c r="L393" s="28"/>
      <c r="M393" s="28"/>
      <c r="N393" s="26"/>
    </row>
    <row r="394" spans="1:14">
      <c r="A394" s="26"/>
      <c r="B394" s="27"/>
      <c r="C394" s="26"/>
      <c r="D394" s="27"/>
      <c r="E394" s="26"/>
      <c r="F394" s="26"/>
      <c r="G394" s="28"/>
      <c r="H394" s="26"/>
      <c r="I394" s="26"/>
      <c r="J394" s="26"/>
      <c r="K394" s="34"/>
      <c r="L394" s="28"/>
      <c r="M394" s="28"/>
      <c r="N394" s="26"/>
    </row>
    <row r="395" spans="1:14">
      <c r="A395" s="26"/>
      <c r="B395" s="27"/>
      <c r="C395" s="26"/>
      <c r="D395" s="27"/>
      <c r="E395" s="26"/>
      <c r="F395" s="26"/>
      <c r="G395" s="28"/>
      <c r="H395" s="26"/>
      <c r="I395" s="26"/>
      <c r="J395" s="26"/>
      <c r="K395" s="34"/>
      <c r="L395" s="28"/>
      <c r="M395" s="28"/>
      <c r="N395" s="26"/>
    </row>
    <row r="396" spans="1:14">
      <c r="A396" s="26"/>
      <c r="B396" s="27"/>
      <c r="C396" s="26"/>
      <c r="D396" s="27"/>
      <c r="E396" s="26"/>
      <c r="F396" s="26"/>
      <c r="G396" s="28"/>
      <c r="H396" s="26"/>
      <c r="I396" s="26"/>
      <c r="J396" s="26"/>
      <c r="K396" s="34"/>
      <c r="L396" s="28"/>
      <c r="M396" s="28"/>
      <c r="N396" s="26"/>
    </row>
    <row r="397" spans="1:14">
      <c r="A397" s="26"/>
      <c r="B397" s="27"/>
      <c r="C397" s="26"/>
      <c r="D397" s="27"/>
      <c r="E397" s="26"/>
      <c r="F397" s="26"/>
      <c r="G397" s="28"/>
      <c r="H397" s="26"/>
      <c r="I397" s="26"/>
      <c r="J397" s="26"/>
      <c r="K397" s="34"/>
      <c r="L397" s="28"/>
      <c r="M397" s="28"/>
      <c r="N397" s="26"/>
    </row>
    <row r="398" spans="1:14">
      <c r="A398" s="26"/>
      <c r="B398" s="27"/>
      <c r="C398" s="26"/>
      <c r="D398" s="27"/>
      <c r="E398" s="26"/>
      <c r="F398" s="26"/>
      <c r="G398" s="28"/>
      <c r="H398" s="26"/>
      <c r="I398" s="26"/>
      <c r="J398" s="26"/>
      <c r="K398" s="34"/>
      <c r="L398" s="28"/>
      <c r="M398" s="28"/>
      <c r="N398" s="26"/>
    </row>
    <row r="399" spans="1:14">
      <c r="A399" s="26"/>
      <c r="B399" s="27"/>
      <c r="C399" s="26"/>
      <c r="D399" s="27"/>
      <c r="E399" s="26"/>
      <c r="F399" s="26"/>
      <c r="G399" s="28"/>
      <c r="H399" s="26"/>
      <c r="I399" s="26"/>
      <c r="J399" s="26"/>
      <c r="K399" s="34"/>
      <c r="L399" s="28"/>
      <c r="M399" s="28"/>
      <c r="N399" s="26"/>
    </row>
    <row r="400" spans="1:14">
      <c r="A400" s="26"/>
      <c r="B400" s="27"/>
      <c r="C400" s="26"/>
      <c r="D400" s="27"/>
      <c r="E400" s="26"/>
      <c r="F400" s="26"/>
      <c r="G400" s="28"/>
      <c r="H400" s="26"/>
      <c r="I400" s="26"/>
      <c r="J400" s="26"/>
      <c r="K400" s="34"/>
      <c r="L400" s="28"/>
      <c r="M400" s="28"/>
      <c r="N400" s="26"/>
    </row>
    <row r="401" spans="1:14">
      <c r="A401" s="26"/>
      <c r="B401" s="27"/>
      <c r="C401" s="26"/>
      <c r="D401" s="27"/>
      <c r="E401" s="26"/>
      <c r="F401" s="26"/>
      <c r="G401" s="28"/>
      <c r="H401" s="26"/>
      <c r="I401" s="26"/>
      <c r="J401" s="26"/>
      <c r="K401" s="34"/>
      <c r="L401" s="28"/>
      <c r="M401" s="28"/>
      <c r="N401" s="26"/>
    </row>
    <row r="402" spans="1:14">
      <c r="A402" s="26"/>
      <c r="B402" s="27"/>
      <c r="C402" s="26"/>
      <c r="D402" s="27"/>
      <c r="E402" s="26"/>
      <c r="F402" s="26"/>
      <c r="G402" s="28"/>
      <c r="H402" s="26"/>
      <c r="I402" s="26"/>
      <c r="J402" s="26"/>
      <c r="K402" s="34"/>
      <c r="L402" s="28"/>
      <c r="M402" s="28"/>
      <c r="N402" s="26"/>
    </row>
    <row r="403" spans="1:14">
      <c r="A403" s="26"/>
      <c r="B403" s="27"/>
      <c r="C403" s="26"/>
      <c r="D403" s="27"/>
      <c r="E403" s="26"/>
      <c r="F403" s="26"/>
      <c r="G403" s="28"/>
      <c r="H403" s="26"/>
      <c r="I403" s="26"/>
      <c r="J403" s="26"/>
      <c r="K403" s="34"/>
      <c r="L403" s="28"/>
      <c r="M403" s="28"/>
      <c r="N403" s="26"/>
    </row>
    <row r="404" spans="1:14">
      <c r="A404" s="26"/>
      <c r="B404" s="27"/>
      <c r="C404" s="26"/>
      <c r="D404" s="27"/>
      <c r="E404" s="26"/>
      <c r="F404" s="26"/>
      <c r="G404" s="28"/>
      <c r="H404" s="26"/>
      <c r="I404" s="26"/>
      <c r="J404" s="26"/>
      <c r="K404" s="34"/>
      <c r="L404" s="28"/>
      <c r="M404" s="28"/>
      <c r="N404" s="26"/>
    </row>
    <row r="405" spans="1:14">
      <c r="A405" s="26"/>
      <c r="B405" s="27"/>
      <c r="C405" s="26"/>
      <c r="D405" s="27"/>
      <c r="E405" s="26"/>
      <c r="F405" s="26"/>
      <c r="G405" s="28"/>
      <c r="H405" s="26"/>
      <c r="I405" s="26"/>
      <c r="J405" s="26"/>
      <c r="K405" s="34"/>
      <c r="L405" s="28"/>
      <c r="M405" s="28"/>
      <c r="N405" s="26"/>
    </row>
    <row r="406" spans="1:14">
      <c r="A406" s="26"/>
      <c r="B406" s="27"/>
      <c r="C406" s="26"/>
      <c r="D406" s="27"/>
      <c r="E406" s="26"/>
      <c r="F406" s="26"/>
      <c r="G406" s="28"/>
      <c r="H406" s="26"/>
      <c r="I406" s="26"/>
      <c r="J406" s="26"/>
      <c r="K406" s="34"/>
      <c r="L406" s="28"/>
      <c r="M406" s="28"/>
      <c r="N406" s="26"/>
    </row>
    <row r="407" spans="1:14">
      <c r="A407" s="26"/>
      <c r="B407" s="27"/>
      <c r="C407" s="26"/>
      <c r="D407" s="27"/>
      <c r="E407" s="26"/>
      <c r="F407" s="26"/>
      <c r="G407" s="28"/>
      <c r="H407" s="26"/>
      <c r="I407" s="26"/>
      <c r="J407" s="26"/>
      <c r="K407" s="34"/>
      <c r="L407" s="28"/>
      <c r="M407" s="28"/>
      <c r="N407" s="26"/>
    </row>
    <row r="408" spans="1:14">
      <c r="A408" s="26"/>
      <c r="B408" s="27"/>
      <c r="C408" s="26"/>
      <c r="D408" s="27"/>
      <c r="E408" s="26"/>
      <c r="F408" s="26"/>
      <c r="G408" s="28"/>
      <c r="H408" s="26"/>
      <c r="I408" s="26"/>
      <c r="J408" s="26"/>
      <c r="K408" s="34"/>
      <c r="L408" s="28"/>
      <c r="M408" s="28"/>
      <c r="N408" s="26"/>
    </row>
    <row r="409" spans="1:14">
      <c r="A409" s="26"/>
      <c r="B409" s="27"/>
      <c r="C409" s="26"/>
      <c r="D409" s="27"/>
      <c r="E409" s="26"/>
      <c r="F409" s="26"/>
      <c r="G409" s="28"/>
      <c r="H409" s="26"/>
      <c r="I409" s="26"/>
      <c r="J409" s="26"/>
      <c r="K409" s="34"/>
      <c r="L409" s="28"/>
      <c r="M409" s="28"/>
      <c r="N409" s="26"/>
    </row>
    <row r="410" spans="1:14">
      <c r="A410" s="26"/>
      <c r="B410" s="27"/>
      <c r="C410" s="26"/>
      <c r="D410" s="27"/>
      <c r="E410" s="26"/>
      <c r="F410" s="26"/>
      <c r="G410" s="28"/>
      <c r="H410" s="26"/>
      <c r="I410" s="26"/>
      <c r="J410" s="26"/>
      <c r="K410" s="34"/>
      <c r="L410" s="28"/>
      <c r="M410" s="28"/>
      <c r="N410" s="26"/>
    </row>
    <row r="411" spans="1:14">
      <c r="A411" s="26"/>
      <c r="B411" s="27"/>
      <c r="C411" s="26"/>
      <c r="D411" s="27"/>
      <c r="E411" s="26"/>
      <c r="F411" s="26"/>
      <c r="G411" s="28"/>
      <c r="H411" s="26"/>
      <c r="I411" s="26"/>
      <c r="J411" s="26"/>
      <c r="K411" s="34"/>
      <c r="L411" s="28"/>
      <c r="M411" s="28"/>
      <c r="N411" s="26"/>
    </row>
    <row r="412" spans="1:14">
      <c r="A412" s="26"/>
      <c r="B412" s="27"/>
      <c r="C412" s="26"/>
      <c r="D412" s="27"/>
      <c r="E412" s="26"/>
      <c r="F412" s="26"/>
      <c r="G412" s="28"/>
      <c r="H412" s="26"/>
      <c r="I412" s="26"/>
      <c r="J412" s="26"/>
      <c r="K412" s="34"/>
      <c r="L412" s="28"/>
      <c r="M412" s="28"/>
      <c r="N412" s="26"/>
    </row>
    <row r="413" spans="1:14">
      <c r="A413" s="26"/>
      <c r="B413" s="27"/>
      <c r="C413" s="26"/>
      <c r="D413" s="27"/>
      <c r="E413" s="26"/>
      <c r="F413" s="26"/>
      <c r="G413" s="28"/>
      <c r="H413" s="26"/>
      <c r="I413" s="26"/>
      <c r="J413" s="26"/>
      <c r="K413" s="34"/>
      <c r="L413" s="28"/>
      <c r="M413" s="28"/>
      <c r="N413" s="26"/>
    </row>
    <row r="414" spans="1:14">
      <c r="A414" s="26"/>
      <c r="B414" s="27"/>
      <c r="C414" s="26"/>
      <c r="D414" s="27"/>
      <c r="E414" s="26"/>
      <c r="F414" s="26"/>
      <c r="G414" s="28"/>
      <c r="H414" s="26"/>
      <c r="I414" s="26"/>
      <c r="J414" s="26"/>
      <c r="K414" s="34"/>
      <c r="L414" s="28"/>
      <c r="M414" s="28"/>
      <c r="N414" s="26"/>
    </row>
    <row r="415" spans="1:14">
      <c r="A415" s="26"/>
      <c r="B415" s="27"/>
      <c r="C415" s="26"/>
      <c r="D415" s="27"/>
      <c r="E415" s="26"/>
      <c r="F415" s="26"/>
      <c r="G415" s="28"/>
      <c r="H415" s="26"/>
      <c r="I415" s="26"/>
      <c r="J415" s="26"/>
      <c r="K415" s="34"/>
      <c r="L415" s="28"/>
      <c r="M415" s="28"/>
      <c r="N415" s="26"/>
    </row>
    <row r="416" spans="1:14">
      <c r="A416" s="26"/>
      <c r="B416" s="27"/>
      <c r="C416" s="26"/>
      <c r="D416" s="27"/>
      <c r="E416" s="26"/>
      <c r="F416" s="26"/>
      <c r="G416" s="28"/>
      <c r="H416" s="26"/>
      <c r="I416" s="26"/>
      <c r="J416" s="26"/>
      <c r="K416" s="34"/>
      <c r="L416" s="28"/>
      <c r="M416" s="28"/>
      <c r="N416" s="26"/>
    </row>
    <row r="417" spans="1:14">
      <c r="A417" s="26"/>
      <c r="B417" s="27"/>
      <c r="C417" s="26"/>
      <c r="D417" s="27"/>
      <c r="E417" s="26"/>
      <c r="F417" s="26"/>
      <c r="G417" s="28"/>
      <c r="H417" s="26"/>
      <c r="I417" s="26"/>
      <c r="J417" s="26"/>
      <c r="K417" s="34"/>
      <c r="L417" s="28"/>
      <c r="M417" s="28"/>
      <c r="N417" s="26"/>
    </row>
    <row r="418" spans="1:14">
      <c r="A418" s="26"/>
      <c r="B418" s="27"/>
      <c r="C418" s="26"/>
      <c r="D418" s="27"/>
      <c r="E418" s="26"/>
      <c r="F418" s="26"/>
      <c r="G418" s="28"/>
      <c r="H418" s="26"/>
      <c r="I418" s="26"/>
      <c r="J418" s="26"/>
      <c r="K418" s="34"/>
      <c r="L418" s="28"/>
      <c r="M418" s="28"/>
      <c r="N418" s="26"/>
    </row>
    <row r="419" spans="1:14">
      <c r="A419" s="26"/>
      <c r="B419" s="27"/>
      <c r="C419" s="26"/>
      <c r="D419" s="27"/>
      <c r="E419" s="26"/>
      <c r="F419" s="26"/>
      <c r="G419" s="28"/>
      <c r="H419" s="26"/>
      <c r="I419" s="26"/>
      <c r="J419" s="26"/>
      <c r="K419" s="34"/>
      <c r="L419" s="28"/>
      <c r="M419" s="28"/>
      <c r="N419" s="26"/>
    </row>
    <row r="420" spans="1:14">
      <c r="A420" s="26"/>
      <c r="B420" s="27"/>
      <c r="C420" s="26"/>
      <c r="D420" s="27"/>
      <c r="E420" s="26"/>
      <c r="F420" s="26"/>
      <c r="G420" s="28"/>
      <c r="H420" s="26"/>
      <c r="I420" s="26"/>
      <c r="J420" s="26"/>
      <c r="K420" s="34"/>
      <c r="L420" s="28"/>
      <c r="M420" s="28"/>
      <c r="N420" s="26"/>
    </row>
    <row r="421" spans="1:14">
      <c r="A421" s="26"/>
      <c r="B421" s="27"/>
      <c r="C421" s="26"/>
      <c r="D421" s="27"/>
      <c r="E421" s="26"/>
      <c r="F421" s="26"/>
      <c r="G421" s="28"/>
      <c r="H421" s="26"/>
      <c r="I421" s="26"/>
      <c r="J421" s="26"/>
      <c r="K421" s="34"/>
      <c r="L421" s="28"/>
      <c r="M421" s="28"/>
      <c r="N421" s="26"/>
    </row>
    <row r="422" spans="1:14">
      <c r="A422" s="26"/>
      <c r="B422" s="27"/>
      <c r="C422" s="26"/>
      <c r="D422" s="27"/>
      <c r="E422" s="26"/>
      <c r="F422" s="26"/>
      <c r="G422" s="28"/>
      <c r="H422" s="26"/>
      <c r="I422" s="26"/>
      <c r="J422" s="26"/>
      <c r="K422" s="34"/>
      <c r="L422" s="28"/>
      <c r="M422" s="28"/>
      <c r="N422" s="26"/>
    </row>
    <row r="423" spans="1:14">
      <c r="A423" s="26"/>
      <c r="B423" s="27"/>
      <c r="C423" s="26"/>
      <c r="D423" s="27"/>
      <c r="E423" s="26"/>
      <c r="F423" s="26"/>
      <c r="G423" s="28"/>
      <c r="H423" s="26"/>
      <c r="I423" s="26"/>
      <c r="J423" s="26"/>
      <c r="K423" s="34"/>
      <c r="L423" s="28"/>
      <c r="M423" s="28"/>
      <c r="N423" s="26"/>
    </row>
    <row r="424" spans="1:14">
      <c r="A424" s="26"/>
      <c r="B424" s="27"/>
      <c r="C424" s="26"/>
      <c r="D424" s="27"/>
      <c r="E424" s="26"/>
      <c r="F424" s="26"/>
      <c r="G424" s="28"/>
      <c r="H424" s="26"/>
      <c r="I424" s="26"/>
      <c r="J424" s="26"/>
      <c r="K424" s="34"/>
      <c r="L424" s="28"/>
      <c r="M424" s="28"/>
      <c r="N424" s="26"/>
    </row>
    <row r="425" spans="1:14">
      <c r="A425" s="26"/>
      <c r="B425" s="27"/>
      <c r="C425" s="26"/>
      <c r="D425" s="27"/>
      <c r="E425" s="26"/>
      <c r="F425" s="26"/>
      <c r="G425" s="28"/>
      <c r="H425" s="26"/>
      <c r="I425" s="26"/>
      <c r="J425" s="26"/>
      <c r="K425" s="34"/>
      <c r="L425" s="28"/>
      <c r="M425" s="28"/>
      <c r="N425" s="26"/>
    </row>
    <row r="426" spans="1:14">
      <c r="A426" s="26"/>
      <c r="B426" s="27"/>
      <c r="C426" s="26"/>
      <c r="D426" s="27"/>
      <c r="E426" s="26"/>
      <c r="F426" s="26"/>
      <c r="G426" s="28"/>
      <c r="H426" s="26"/>
      <c r="I426" s="26"/>
      <c r="J426" s="26"/>
      <c r="K426" s="34"/>
      <c r="L426" s="28"/>
      <c r="M426" s="28"/>
      <c r="N426" s="26"/>
    </row>
    <row r="427" spans="1:14">
      <c r="A427" s="26"/>
      <c r="B427" s="27"/>
      <c r="C427" s="26"/>
      <c r="D427" s="27"/>
      <c r="E427" s="26"/>
      <c r="F427" s="26"/>
      <c r="G427" s="28"/>
      <c r="H427" s="26"/>
      <c r="I427" s="26"/>
      <c r="J427" s="26"/>
      <c r="K427" s="34"/>
      <c r="L427" s="28"/>
      <c r="M427" s="28"/>
      <c r="N427" s="26"/>
    </row>
    <row r="428" spans="1:14">
      <c r="A428" s="26"/>
      <c r="B428" s="27"/>
      <c r="C428" s="26"/>
      <c r="D428" s="27"/>
      <c r="E428" s="26"/>
      <c r="F428" s="26"/>
      <c r="G428" s="28"/>
      <c r="H428" s="26"/>
      <c r="I428" s="26"/>
      <c r="J428" s="26"/>
      <c r="K428" s="34"/>
      <c r="L428" s="28"/>
      <c r="M428" s="28"/>
      <c r="N428" s="26"/>
    </row>
    <row r="429" spans="1:14">
      <c r="A429" s="26"/>
      <c r="B429" s="27"/>
      <c r="C429" s="26"/>
      <c r="D429" s="27"/>
      <c r="E429" s="26"/>
      <c r="F429" s="26"/>
      <c r="G429" s="28"/>
      <c r="H429" s="26"/>
      <c r="I429" s="26"/>
      <c r="J429" s="26"/>
      <c r="K429" s="34"/>
      <c r="L429" s="28"/>
      <c r="M429" s="28"/>
      <c r="N429" s="26"/>
    </row>
    <row r="430" spans="1:14">
      <c r="A430" s="26"/>
      <c r="B430" s="27"/>
      <c r="C430" s="26"/>
      <c r="D430" s="27"/>
      <c r="E430" s="26"/>
      <c r="F430" s="26"/>
      <c r="G430" s="28"/>
      <c r="H430" s="26"/>
      <c r="I430" s="26"/>
      <c r="J430" s="26"/>
      <c r="K430" s="34"/>
      <c r="L430" s="28"/>
      <c r="M430" s="28"/>
      <c r="N430" s="26"/>
    </row>
    <row r="431" spans="1:14">
      <c r="A431" s="26"/>
      <c r="B431" s="27"/>
      <c r="C431" s="26"/>
      <c r="D431" s="27"/>
      <c r="E431" s="26"/>
      <c r="F431" s="26"/>
      <c r="G431" s="28"/>
      <c r="H431" s="26"/>
      <c r="I431" s="26"/>
      <c r="J431" s="26"/>
      <c r="K431" s="34"/>
      <c r="L431" s="28"/>
      <c r="M431" s="28"/>
      <c r="N431" s="26"/>
    </row>
    <row r="432" spans="1:14">
      <c r="A432" s="26"/>
      <c r="B432" s="27"/>
      <c r="C432" s="26"/>
      <c r="D432" s="27"/>
      <c r="E432" s="26"/>
      <c r="F432" s="26"/>
      <c r="G432" s="28"/>
      <c r="H432" s="26"/>
      <c r="I432" s="26"/>
      <c r="J432" s="26"/>
      <c r="K432" s="34"/>
      <c r="L432" s="28"/>
      <c r="M432" s="28"/>
      <c r="N432" s="26"/>
    </row>
    <row r="433" spans="1:14">
      <c r="A433" s="26"/>
      <c r="B433" s="27"/>
      <c r="C433" s="26"/>
      <c r="D433" s="27"/>
      <c r="E433" s="26"/>
      <c r="F433" s="26"/>
      <c r="G433" s="28"/>
      <c r="H433" s="26"/>
      <c r="I433" s="26"/>
      <c r="J433" s="26"/>
      <c r="K433" s="34"/>
      <c r="L433" s="28"/>
      <c r="M433" s="28"/>
      <c r="N433" s="26"/>
    </row>
    <row r="434" spans="1:14">
      <c r="A434" s="26"/>
      <c r="B434" s="27"/>
      <c r="C434" s="26"/>
      <c r="D434" s="27"/>
      <c r="E434" s="26"/>
      <c r="F434" s="26"/>
      <c r="G434" s="28"/>
      <c r="H434" s="26"/>
      <c r="I434" s="26"/>
      <c r="J434" s="26"/>
      <c r="K434" s="34"/>
      <c r="L434" s="28"/>
      <c r="M434" s="28"/>
      <c r="N434" s="26"/>
    </row>
    <row r="435" spans="1:14">
      <c r="A435" s="26"/>
      <c r="B435" s="27"/>
      <c r="C435" s="26"/>
      <c r="D435" s="27"/>
      <c r="E435" s="26"/>
      <c r="F435" s="26"/>
      <c r="G435" s="28"/>
      <c r="H435" s="26"/>
      <c r="I435" s="26"/>
      <c r="J435" s="26"/>
      <c r="K435" s="34"/>
      <c r="L435" s="28"/>
      <c r="M435" s="28"/>
      <c r="N435" s="26"/>
    </row>
    <row r="436" spans="1:14">
      <c r="A436" s="26"/>
      <c r="B436" s="27"/>
      <c r="C436" s="26"/>
      <c r="D436" s="27"/>
      <c r="E436" s="26"/>
      <c r="F436" s="26"/>
      <c r="G436" s="28"/>
      <c r="H436" s="26"/>
      <c r="I436" s="26"/>
      <c r="J436" s="26"/>
      <c r="K436" s="34"/>
      <c r="L436" s="28"/>
      <c r="M436" s="28"/>
      <c r="N436" s="26"/>
    </row>
    <row r="437" spans="1:14">
      <c r="A437" s="26"/>
      <c r="B437" s="27"/>
      <c r="C437" s="26"/>
      <c r="D437" s="27"/>
      <c r="E437" s="26"/>
      <c r="F437" s="26"/>
      <c r="G437" s="28"/>
      <c r="H437" s="26"/>
      <c r="I437" s="26"/>
      <c r="J437" s="26"/>
      <c r="K437" s="34"/>
      <c r="L437" s="28"/>
      <c r="M437" s="28"/>
      <c r="N437" s="26"/>
    </row>
    <row r="438" spans="1:14">
      <c r="A438" s="26"/>
      <c r="B438" s="27"/>
      <c r="C438" s="26"/>
      <c r="D438" s="27"/>
      <c r="E438" s="26"/>
      <c r="F438" s="26"/>
      <c r="G438" s="28"/>
      <c r="H438" s="26"/>
      <c r="I438" s="26"/>
      <c r="J438" s="26"/>
      <c r="K438" s="34"/>
      <c r="L438" s="28"/>
      <c r="M438" s="28"/>
      <c r="N438" s="26"/>
    </row>
    <row r="439" spans="1:14">
      <c r="A439" s="26"/>
      <c r="B439" s="27"/>
      <c r="C439" s="26"/>
      <c r="D439" s="27"/>
      <c r="E439" s="26"/>
      <c r="F439" s="26"/>
      <c r="G439" s="28"/>
      <c r="H439" s="26"/>
      <c r="I439" s="26"/>
      <c r="J439" s="26"/>
      <c r="K439" s="34"/>
      <c r="L439" s="28"/>
      <c r="M439" s="28"/>
      <c r="N439" s="26"/>
    </row>
    <row r="440" spans="1:14">
      <c r="A440" s="26"/>
      <c r="B440" s="27"/>
      <c r="C440" s="26"/>
      <c r="D440" s="27"/>
      <c r="E440" s="26"/>
      <c r="F440" s="26"/>
      <c r="G440" s="28"/>
      <c r="H440" s="26"/>
      <c r="I440" s="26"/>
      <c r="J440" s="26"/>
      <c r="K440" s="34"/>
      <c r="L440" s="28"/>
      <c r="M440" s="28"/>
      <c r="N440" s="26"/>
    </row>
    <row r="441" spans="1:14">
      <c r="A441" s="26"/>
      <c r="B441" s="27"/>
      <c r="C441" s="26"/>
      <c r="D441" s="27"/>
      <c r="E441" s="26"/>
      <c r="F441" s="26"/>
      <c r="G441" s="28"/>
      <c r="H441" s="26"/>
      <c r="I441" s="26"/>
      <c r="J441" s="26"/>
      <c r="K441" s="34"/>
      <c r="L441" s="28"/>
      <c r="M441" s="28"/>
      <c r="N441" s="26"/>
    </row>
    <row r="442" spans="1:14">
      <c r="A442" s="26"/>
      <c r="B442" s="27"/>
      <c r="C442" s="26"/>
      <c r="D442" s="27"/>
      <c r="E442" s="26"/>
      <c r="F442" s="26"/>
      <c r="G442" s="28"/>
      <c r="H442" s="26"/>
      <c r="I442" s="26"/>
      <c r="J442" s="26"/>
      <c r="K442" s="34"/>
      <c r="L442" s="28"/>
      <c r="M442" s="28"/>
      <c r="N442" s="26"/>
    </row>
    <row r="443" spans="1:14">
      <c r="A443" s="26"/>
      <c r="B443" s="27"/>
      <c r="C443" s="26"/>
      <c r="D443" s="27"/>
      <c r="E443" s="26"/>
      <c r="F443" s="26"/>
      <c r="G443" s="28"/>
      <c r="H443" s="26"/>
      <c r="I443" s="26"/>
      <c r="J443" s="26"/>
      <c r="K443" s="34"/>
      <c r="L443" s="28"/>
      <c r="M443" s="28"/>
      <c r="N443" s="26"/>
    </row>
    <row r="444" spans="1:14">
      <c r="A444" s="26"/>
      <c r="B444" s="27"/>
      <c r="C444" s="26"/>
      <c r="D444" s="27"/>
      <c r="E444" s="26"/>
      <c r="F444" s="26"/>
      <c r="G444" s="28"/>
      <c r="H444" s="26"/>
      <c r="I444" s="26"/>
      <c r="J444" s="26"/>
      <c r="K444" s="34"/>
      <c r="L444" s="28"/>
      <c r="M444" s="28"/>
      <c r="N444" s="26"/>
    </row>
    <row r="445" spans="1:14">
      <c r="A445" s="26"/>
      <c r="B445" s="27"/>
      <c r="C445" s="26"/>
      <c r="D445" s="27"/>
      <c r="E445" s="26"/>
      <c r="F445" s="26"/>
      <c r="G445" s="28"/>
      <c r="H445" s="26"/>
      <c r="I445" s="26"/>
      <c r="J445" s="26"/>
      <c r="K445" s="34"/>
      <c r="L445" s="28"/>
      <c r="M445" s="28"/>
      <c r="N445" s="26"/>
    </row>
    <row r="446" spans="1:14">
      <c r="A446" s="26"/>
      <c r="B446" s="27"/>
      <c r="C446" s="26"/>
      <c r="D446" s="27"/>
      <c r="E446" s="26"/>
      <c r="F446" s="26"/>
      <c r="G446" s="28"/>
      <c r="H446" s="26"/>
      <c r="I446" s="26"/>
      <c r="J446" s="26"/>
      <c r="K446" s="34"/>
      <c r="L446" s="28"/>
      <c r="M446" s="28"/>
      <c r="N446" s="26"/>
    </row>
    <row r="447" spans="1:14">
      <c r="A447" s="26"/>
      <c r="B447" s="27"/>
      <c r="C447" s="26"/>
      <c r="D447" s="27"/>
      <c r="E447" s="26"/>
      <c r="F447" s="26"/>
      <c r="G447" s="28"/>
      <c r="H447" s="26"/>
      <c r="I447" s="26"/>
      <c r="J447" s="26"/>
      <c r="K447" s="34"/>
      <c r="L447" s="28"/>
      <c r="M447" s="28"/>
      <c r="N447" s="26"/>
    </row>
    <row r="448" spans="1:14">
      <c r="A448" s="26"/>
      <c r="B448" s="27"/>
      <c r="C448" s="26"/>
      <c r="D448" s="27"/>
      <c r="E448" s="26"/>
      <c r="F448" s="26"/>
      <c r="G448" s="28"/>
      <c r="H448" s="26"/>
      <c r="I448" s="26"/>
      <c r="J448" s="26"/>
      <c r="K448" s="34"/>
      <c r="L448" s="28"/>
      <c r="M448" s="28"/>
      <c r="N448" s="26"/>
    </row>
    <row r="449" spans="1:14">
      <c r="A449" s="26"/>
      <c r="B449" s="27"/>
      <c r="C449" s="26"/>
      <c r="D449" s="27"/>
      <c r="E449" s="26"/>
      <c r="F449" s="26"/>
      <c r="G449" s="28"/>
      <c r="H449" s="26"/>
      <c r="I449" s="26"/>
      <c r="J449" s="26"/>
      <c r="K449" s="34"/>
      <c r="L449" s="28"/>
      <c r="M449" s="28"/>
      <c r="N449" s="26"/>
    </row>
    <row r="450" spans="1:14">
      <c r="A450" s="26"/>
      <c r="B450" s="27"/>
      <c r="C450" s="26"/>
      <c r="D450" s="27"/>
      <c r="E450" s="26"/>
      <c r="F450" s="26"/>
      <c r="G450" s="28"/>
      <c r="H450" s="26"/>
      <c r="I450" s="26"/>
      <c r="J450" s="26"/>
      <c r="K450" s="34"/>
      <c r="L450" s="28"/>
      <c r="M450" s="28"/>
      <c r="N450" s="26"/>
    </row>
    <row r="451" spans="1:14">
      <c r="A451" s="26"/>
      <c r="B451" s="27"/>
      <c r="C451" s="26"/>
      <c r="D451" s="27"/>
      <c r="E451" s="26"/>
      <c r="F451" s="26"/>
      <c r="G451" s="28"/>
      <c r="H451" s="26"/>
      <c r="I451" s="26"/>
      <c r="J451" s="26"/>
      <c r="K451" s="34"/>
      <c r="L451" s="28"/>
      <c r="M451" s="28"/>
      <c r="N451" s="26"/>
    </row>
    <row r="452" spans="1:14">
      <c r="A452" s="26"/>
      <c r="B452" s="27"/>
      <c r="C452" s="26"/>
      <c r="D452" s="27"/>
      <c r="E452" s="26"/>
      <c r="F452" s="26"/>
      <c r="G452" s="28"/>
      <c r="H452" s="26"/>
      <c r="I452" s="26"/>
      <c r="J452" s="26"/>
      <c r="K452" s="34"/>
      <c r="L452" s="28"/>
      <c r="M452" s="28"/>
      <c r="N452" s="26"/>
    </row>
    <row r="453" spans="1:14">
      <c r="A453" s="26"/>
      <c r="B453" s="27"/>
      <c r="C453" s="26"/>
      <c r="D453" s="27"/>
      <c r="E453" s="26"/>
      <c r="F453" s="26"/>
      <c r="G453" s="28"/>
      <c r="H453" s="26"/>
      <c r="I453" s="26"/>
      <c r="J453" s="26"/>
      <c r="K453" s="34"/>
      <c r="L453" s="28"/>
      <c r="M453" s="28"/>
      <c r="N453" s="26"/>
    </row>
    <row r="454" spans="1:14">
      <c r="A454" s="26"/>
      <c r="B454" s="27"/>
      <c r="C454" s="26"/>
      <c r="D454" s="27"/>
      <c r="E454" s="26"/>
      <c r="F454" s="26"/>
      <c r="G454" s="28"/>
      <c r="H454" s="26"/>
      <c r="I454" s="26"/>
      <c r="J454" s="26"/>
      <c r="K454" s="34"/>
      <c r="L454" s="28"/>
      <c r="M454" s="28"/>
      <c r="N454" s="26"/>
    </row>
    <row r="455" spans="1:14">
      <c r="A455" s="26"/>
      <c r="B455" s="27"/>
      <c r="C455" s="26"/>
      <c r="D455" s="27"/>
      <c r="E455" s="26"/>
      <c r="F455" s="26"/>
      <c r="G455" s="28"/>
      <c r="H455" s="26"/>
      <c r="I455" s="26"/>
      <c r="J455" s="26"/>
      <c r="K455" s="34"/>
      <c r="L455" s="28"/>
      <c r="M455" s="28"/>
      <c r="N455" s="26"/>
    </row>
    <row r="456" spans="1:14">
      <c r="A456" s="26"/>
      <c r="B456" s="27"/>
      <c r="C456" s="26"/>
      <c r="D456" s="27"/>
      <c r="E456" s="26"/>
      <c r="F456" s="26"/>
      <c r="G456" s="28"/>
      <c r="H456" s="26"/>
      <c r="I456" s="26"/>
      <c r="J456" s="26"/>
      <c r="K456" s="34"/>
      <c r="L456" s="28"/>
      <c r="M456" s="28"/>
      <c r="N456" s="26"/>
    </row>
    <row r="457" spans="1:14">
      <c r="A457" s="26"/>
      <c r="B457" s="27"/>
      <c r="C457" s="26"/>
      <c r="D457" s="27"/>
      <c r="E457" s="26"/>
      <c r="F457" s="26"/>
      <c r="G457" s="28"/>
      <c r="H457" s="26"/>
      <c r="I457" s="26"/>
      <c r="J457" s="26"/>
      <c r="K457" s="34"/>
      <c r="L457" s="28"/>
      <c r="M457" s="28"/>
      <c r="N457" s="26"/>
    </row>
    <row r="458" spans="1:14">
      <c r="A458" s="26"/>
      <c r="B458" s="27"/>
      <c r="C458" s="26"/>
      <c r="D458" s="27"/>
      <c r="E458" s="26"/>
      <c r="F458" s="26"/>
      <c r="G458" s="28"/>
      <c r="H458" s="26"/>
      <c r="I458" s="26"/>
      <c r="J458" s="26"/>
      <c r="K458" s="34"/>
      <c r="L458" s="28"/>
      <c r="M458" s="28"/>
      <c r="N458" s="26"/>
    </row>
    <row r="459" spans="1:14">
      <c r="A459" s="26"/>
      <c r="B459" s="27"/>
      <c r="C459" s="26"/>
      <c r="D459" s="27"/>
      <c r="E459" s="26"/>
      <c r="F459" s="26"/>
      <c r="G459" s="28"/>
      <c r="H459" s="26"/>
      <c r="I459" s="26"/>
      <c r="J459" s="26"/>
      <c r="K459" s="34"/>
      <c r="L459" s="28"/>
      <c r="M459" s="28"/>
      <c r="N459" s="26"/>
    </row>
    <row r="460" spans="1:14">
      <c r="A460" s="26"/>
      <c r="B460" s="27"/>
      <c r="C460" s="26"/>
      <c r="D460" s="27"/>
      <c r="E460" s="26"/>
      <c r="F460" s="26"/>
      <c r="G460" s="28"/>
      <c r="H460" s="26"/>
      <c r="I460" s="26"/>
      <c r="J460" s="26"/>
      <c r="K460" s="34"/>
      <c r="L460" s="28"/>
      <c r="M460" s="28"/>
      <c r="N460" s="26"/>
    </row>
    <row r="461" spans="1:14">
      <c r="A461" s="26"/>
      <c r="B461" s="27"/>
      <c r="C461" s="26"/>
      <c r="D461" s="27"/>
      <c r="E461" s="26"/>
      <c r="F461" s="26"/>
      <c r="G461" s="28"/>
      <c r="H461" s="26"/>
      <c r="I461" s="26"/>
      <c r="J461" s="26"/>
      <c r="K461" s="34"/>
      <c r="L461" s="28"/>
      <c r="M461" s="28"/>
      <c r="N461" s="26"/>
    </row>
    <row r="462" spans="1:14">
      <c r="A462" s="26"/>
      <c r="B462" s="27"/>
      <c r="C462" s="26"/>
      <c r="D462" s="27"/>
      <c r="E462" s="26"/>
      <c r="F462" s="26"/>
      <c r="G462" s="28"/>
      <c r="H462" s="26"/>
      <c r="I462" s="26"/>
      <c r="J462" s="26"/>
      <c r="K462" s="34"/>
      <c r="L462" s="28"/>
      <c r="M462" s="28"/>
      <c r="N462" s="26"/>
    </row>
    <row r="463" spans="1:14">
      <c r="A463" s="26"/>
      <c r="B463" s="27"/>
      <c r="C463" s="26"/>
      <c r="D463" s="27"/>
      <c r="E463" s="26"/>
      <c r="F463" s="26"/>
      <c r="G463" s="28"/>
      <c r="H463" s="26"/>
      <c r="I463" s="26"/>
      <c r="J463" s="26"/>
      <c r="K463" s="34"/>
      <c r="L463" s="28"/>
      <c r="M463" s="28"/>
      <c r="N463" s="26"/>
    </row>
    <row r="464" spans="1:14">
      <c r="A464" s="26"/>
      <c r="B464" s="27"/>
      <c r="C464" s="26"/>
      <c r="D464" s="27"/>
      <c r="E464" s="26"/>
      <c r="F464" s="26"/>
      <c r="G464" s="28"/>
      <c r="H464" s="26"/>
      <c r="I464" s="26"/>
      <c r="J464" s="26"/>
      <c r="K464" s="34"/>
      <c r="L464" s="28"/>
      <c r="M464" s="28"/>
      <c r="N464" s="26"/>
    </row>
    <row r="465" spans="1:14">
      <c r="A465" s="26"/>
      <c r="B465" s="27"/>
      <c r="C465" s="26"/>
      <c r="D465" s="27"/>
      <c r="E465" s="26"/>
      <c r="F465" s="26"/>
      <c r="G465" s="28"/>
      <c r="H465" s="26"/>
      <c r="I465" s="26"/>
      <c r="J465" s="26"/>
      <c r="K465" s="34"/>
      <c r="L465" s="28"/>
      <c r="M465" s="28"/>
      <c r="N465" s="26"/>
    </row>
    <row r="466" spans="1:14">
      <c r="A466" s="26"/>
      <c r="B466" s="27"/>
      <c r="C466" s="26"/>
      <c r="D466" s="27"/>
      <c r="E466" s="26"/>
      <c r="F466" s="26"/>
      <c r="G466" s="28"/>
      <c r="H466" s="26"/>
      <c r="I466" s="26"/>
      <c r="J466" s="26"/>
      <c r="K466" s="34"/>
      <c r="L466" s="28"/>
      <c r="M466" s="28"/>
      <c r="N466" s="26"/>
    </row>
    <row r="467" spans="1:14">
      <c r="A467" s="26"/>
      <c r="B467" s="27"/>
      <c r="C467" s="26"/>
      <c r="D467" s="27"/>
      <c r="E467" s="26"/>
      <c r="F467" s="26"/>
      <c r="G467" s="28"/>
      <c r="H467" s="26"/>
      <c r="I467" s="26"/>
      <c r="J467" s="26"/>
      <c r="K467" s="34"/>
      <c r="L467" s="28"/>
      <c r="M467" s="28"/>
      <c r="N467" s="26"/>
    </row>
    <row r="468" spans="1:14">
      <c r="A468" s="26"/>
      <c r="B468" s="27"/>
      <c r="C468" s="26"/>
      <c r="D468" s="27"/>
      <c r="E468" s="26"/>
      <c r="F468" s="26"/>
      <c r="G468" s="28"/>
      <c r="H468" s="26"/>
      <c r="I468" s="26"/>
      <c r="J468" s="26"/>
      <c r="K468" s="34"/>
      <c r="L468" s="28"/>
      <c r="M468" s="28"/>
      <c r="N468" s="26"/>
    </row>
    <row r="469" spans="1:14">
      <c r="A469" s="26"/>
      <c r="B469" s="27"/>
      <c r="C469" s="26"/>
      <c r="D469" s="27"/>
      <c r="E469" s="26"/>
      <c r="F469" s="26"/>
      <c r="G469" s="28"/>
      <c r="H469" s="26"/>
      <c r="I469" s="26"/>
      <c r="J469" s="26"/>
      <c r="K469" s="34"/>
      <c r="L469" s="28"/>
      <c r="M469" s="28"/>
      <c r="N469" s="26"/>
    </row>
    <row r="470" spans="1:14">
      <c r="A470" s="26"/>
      <c r="B470" s="27"/>
      <c r="C470" s="26"/>
      <c r="D470" s="27"/>
      <c r="E470" s="26"/>
      <c r="F470" s="26"/>
      <c r="G470" s="28"/>
      <c r="H470" s="26"/>
      <c r="I470" s="26"/>
      <c r="J470" s="26"/>
      <c r="K470" s="34"/>
      <c r="L470" s="28"/>
      <c r="M470" s="28"/>
      <c r="N470" s="26"/>
    </row>
    <row r="471" spans="1:14">
      <c r="A471" s="26"/>
      <c r="B471" s="27"/>
      <c r="C471" s="26"/>
      <c r="D471" s="27"/>
      <c r="E471" s="26"/>
      <c r="F471" s="26"/>
      <c r="G471" s="28"/>
      <c r="H471" s="26"/>
      <c r="I471" s="26"/>
      <c r="J471" s="26"/>
      <c r="K471" s="34"/>
      <c r="L471" s="28"/>
      <c r="M471" s="28"/>
      <c r="N471" s="26"/>
    </row>
    <row r="472" spans="1:14">
      <c r="A472" s="26"/>
      <c r="B472" s="27"/>
      <c r="C472" s="26"/>
      <c r="D472" s="27"/>
      <c r="E472" s="26"/>
      <c r="F472" s="26"/>
      <c r="G472" s="28"/>
      <c r="H472" s="26"/>
      <c r="I472" s="26"/>
      <c r="J472" s="26"/>
      <c r="K472" s="34"/>
      <c r="L472" s="28"/>
      <c r="M472" s="28"/>
      <c r="N472" s="26"/>
    </row>
    <row r="473" spans="1:14">
      <c r="A473" s="26"/>
      <c r="B473" s="27"/>
      <c r="C473" s="26"/>
      <c r="D473" s="27"/>
      <c r="E473" s="26"/>
      <c r="F473" s="26"/>
      <c r="G473" s="28"/>
      <c r="H473" s="26"/>
      <c r="I473" s="26"/>
      <c r="J473" s="26"/>
      <c r="K473" s="34"/>
      <c r="L473" s="28"/>
      <c r="M473" s="28"/>
      <c r="N473" s="26"/>
    </row>
    <row r="474" spans="1:14">
      <c r="A474" s="26"/>
      <c r="B474" s="27"/>
      <c r="C474" s="26"/>
      <c r="D474" s="27"/>
      <c r="E474" s="26"/>
      <c r="F474" s="26"/>
      <c r="G474" s="28"/>
      <c r="H474" s="26"/>
      <c r="I474" s="26"/>
      <c r="J474" s="26"/>
      <c r="K474" s="34"/>
      <c r="L474" s="28"/>
      <c r="M474" s="28"/>
      <c r="N474" s="26"/>
    </row>
    <row r="475" spans="1:14">
      <c r="A475" s="26"/>
      <c r="B475" s="27"/>
      <c r="C475" s="26"/>
      <c r="D475" s="27"/>
      <c r="E475" s="26"/>
      <c r="F475" s="26"/>
      <c r="G475" s="28"/>
      <c r="H475" s="26"/>
      <c r="I475" s="26"/>
      <c r="J475" s="26"/>
      <c r="K475" s="34"/>
      <c r="L475" s="28"/>
      <c r="M475" s="28"/>
      <c r="N475" s="26"/>
    </row>
    <row r="476" spans="1:14">
      <c r="A476" s="26"/>
      <c r="B476" s="27"/>
      <c r="C476" s="26"/>
      <c r="D476" s="27"/>
      <c r="E476" s="26"/>
      <c r="F476" s="26"/>
      <c r="G476" s="28"/>
      <c r="H476" s="26"/>
      <c r="I476" s="26"/>
      <c r="J476" s="26"/>
      <c r="K476" s="34"/>
      <c r="L476" s="28"/>
      <c r="M476" s="28"/>
      <c r="N476" s="26"/>
    </row>
    <row r="477" spans="1:14">
      <c r="A477" s="26"/>
      <c r="B477" s="27"/>
      <c r="C477" s="26"/>
      <c r="D477" s="27"/>
      <c r="E477" s="26"/>
      <c r="F477" s="26"/>
      <c r="G477" s="28"/>
      <c r="H477" s="26"/>
      <c r="I477" s="26"/>
      <c r="J477" s="26"/>
      <c r="K477" s="34"/>
      <c r="L477" s="28"/>
      <c r="M477" s="28"/>
      <c r="N477" s="26"/>
    </row>
    <row r="478" spans="1:14">
      <c r="A478" s="26"/>
      <c r="B478" s="27"/>
      <c r="C478" s="26"/>
      <c r="D478" s="27"/>
      <c r="E478" s="26"/>
      <c r="F478" s="26"/>
      <c r="G478" s="28"/>
      <c r="H478" s="26"/>
      <c r="I478" s="26"/>
      <c r="J478" s="26"/>
      <c r="K478" s="34"/>
      <c r="L478" s="28"/>
      <c r="M478" s="28"/>
      <c r="N478" s="26"/>
    </row>
    <row r="479" spans="1:14">
      <c r="A479" s="26"/>
      <c r="B479" s="27"/>
      <c r="C479" s="26"/>
      <c r="D479" s="27"/>
      <c r="E479" s="26"/>
      <c r="F479" s="26"/>
      <c r="G479" s="28"/>
      <c r="H479" s="26"/>
      <c r="I479" s="26"/>
      <c r="J479" s="26"/>
      <c r="K479" s="34"/>
      <c r="L479" s="28"/>
      <c r="M479" s="28"/>
      <c r="N479" s="26"/>
    </row>
    <row r="480" spans="1:14">
      <c r="A480" s="26"/>
      <c r="B480" s="27"/>
      <c r="C480" s="26"/>
      <c r="D480" s="27"/>
      <c r="E480" s="26"/>
      <c r="F480" s="26"/>
      <c r="G480" s="28"/>
      <c r="H480" s="26"/>
      <c r="I480" s="26"/>
      <c r="J480" s="26"/>
      <c r="K480" s="34"/>
      <c r="L480" s="28"/>
      <c r="M480" s="28"/>
      <c r="N480" s="26"/>
    </row>
    <row r="481" spans="1:14">
      <c r="A481" s="26"/>
      <c r="B481" s="27"/>
      <c r="C481" s="26"/>
      <c r="D481" s="27"/>
      <c r="E481" s="26"/>
      <c r="F481" s="26"/>
      <c r="G481" s="28"/>
      <c r="H481" s="26"/>
      <c r="I481" s="26"/>
      <c r="J481" s="26"/>
      <c r="K481" s="34"/>
      <c r="L481" s="28"/>
      <c r="M481" s="28"/>
      <c r="N481" s="26"/>
    </row>
    <row r="482" spans="1:14">
      <c r="A482" s="26"/>
      <c r="B482" s="27"/>
      <c r="C482" s="26"/>
      <c r="D482" s="27"/>
      <c r="E482" s="26"/>
      <c r="F482" s="26"/>
      <c r="G482" s="28"/>
      <c r="H482" s="26"/>
      <c r="I482" s="26"/>
      <c r="J482" s="26"/>
      <c r="K482" s="34"/>
      <c r="L482" s="28"/>
      <c r="M482" s="28"/>
      <c r="N482" s="26"/>
    </row>
    <row r="483" spans="1:14">
      <c r="A483" s="26"/>
      <c r="B483" s="27"/>
      <c r="C483" s="26"/>
      <c r="D483" s="27"/>
      <c r="E483" s="26"/>
      <c r="F483" s="26"/>
      <c r="G483" s="28"/>
      <c r="H483" s="26"/>
      <c r="I483" s="26"/>
      <c r="J483" s="26"/>
      <c r="K483" s="34"/>
      <c r="L483" s="28"/>
      <c r="M483" s="28"/>
      <c r="N483" s="26"/>
    </row>
    <row r="484" spans="1:14">
      <c r="A484" s="26"/>
      <c r="B484" s="27"/>
      <c r="C484" s="26"/>
      <c r="D484" s="27"/>
      <c r="E484" s="26"/>
      <c r="F484" s="26"/>
      <c r="G484" s="28"/>
      <c r="H484" s="26"/>
      <c r="I484" s="26"/>
      <c r="J484" s="26"/>
      <c r="K484" s="34"/>
      <c r="L484" s="28"/>
      <c r="M484" s="28"/>
      <c r="N484" s="26"/>
    </row>
    <row r="485" spans="1:14">
      <c r="A485" s="26"/>
      <c r="B485" s="27"/>
      <c r="C485" s="26"/>
      <c r="D485" s="27"/>
      <c r="E485" s="26"/>
      <c r="F485" s="26"/>
      <c r="G485" s="28"/>
      <c r="H485" s="26"/>
      <c r="I485" s="26"/>
      <c r="J485" s="26"/>
      <c r="K485" s="34"/>
      <c r="L485" s="28"/>
      <c r="M485" s="28"/>
      <c r="N485" s="26"/>
    </row>
    <row r="486" spans="1:14">
      <c r="A486" s="26"/>
      <c r="B486" s="27"/>
      <c r="C486" s="26"/>
      <c r="D486" s="27"/>
      <c r="E486" s="26"/>
      <c r="F486" s="26"/>
      <c r="G486" s="28"/>
      <c r="H486" s="26"/>
      <c r="I486" s="26"/>
      <c r="J486" s="26"/>
      <c r="K486" s="34"/>
      <c r="L486" s="28"/>
      <c r="M486" s="28"/>
      <c r="N486" s="26"/>
    </row>
    <row r="487" spans="1:14">
      <c r="A487" s="26"/>
      <c r="B487" s="27"/>
      <c r="C487" s="26"/>
      <c r="D487" s="27"/>
      <c r="E487" s="26"/>
      <c r="F487" s="26"/>
      <c r="G487" s="28"/>
      <c r="H487" s="26"/>
      <c r="I487" s="26"/>
      <c r="J487" s="26"/>
      <c r="K487" s="34"/>
      <c r="L487" s="28"/>
      <c r="M487" s="28"/>
      <c r="N487" s="26"/>
    </row>
    <row r="488" spans="1:14">
      <c r="A488" s="26"/>
      <c r="B488" s="27"/>
      <c r="C488" s="26"/>
      <c r="D488" s="27"/>
      <c r="E488" s="26"/>
      <c r="F488" s="26"/>
      <c r="G488" s="28"/>
      <c r="H488" s="26"/>
      <c r="I488" s="26"/>
      <c r="J488" s="26"/>
      <c r="K488" s="34"/>
      <c r="L488" s="28"/>
      <c r="M488" s="28"/>
      <c r="N488" s="26"/>
    </row>
    <row r="489" spans="1:14">
      <c r="A489" s="26"/>
      <c r="B489" s="27"/>
      <c r="C489" s="26"/>
      <c r="D489" s="27"/>
      <c r="E489" s="26"/>
      <c r="F489" s="26"/>
      <c r="G489" s="28"/>
      <c r="H489" s="26"/>
      <c r="I489" s="26"/>
      <c r="J489" s="26"/>
      <c r="K489" s="34"/>
      <c r="L489" s="28"/>
      <c r="M489" s="28"/>
      <c r="N489" s="26"/>
    </row>
    <row r="490" spans="1:14">
      <c r="A490" s="26"/>
      <c r="B490" s="27"/>
      <c r="C490" s="26"/>
      <c r="D490" s="27"/>
      <c r="E490" s="26"/>
      <c r="F490" s="26"/>
      <c r="G490" s="28"/>
      <c r="H490" s="26"/>
      <c r="I490" s="26"/>
      <c r="J490" s="26"/>
      <c r="K490" s="34"/>
      <c r="L490" s="28"/>
      <c r="M490" s="28"/>
      <c r="N490" s="26"/>
    </row>
    <row r="491" spans="1:14">
      <c r="A491" s="26"/>
      <c r="B491" s="27"/>
      <c r="C491" s="26"/>
      <c r="D491" s="27"/>
      <c r="E491" s="26"/>
      <c r="F491" s="26"/>
      <c r="G491" s="28"/>
      <c r="H491" s="26"/>
      <c r="I491" s="26"/>
      <c r="J491" s="26"/>
      <c r="K491" s="34"/>
      <c r="L491" s="28"/>
      <c r="M491" s="28"/>
      <c r="N491" s="26"/>
    </row>
    <row r="492" spans="1:14">
      <c r="A492" s="26"/>
      <c r="B492" s="27"/>
      <c r="C492" s="26"/>
      <c r="D492" s="27"/>
      <c r="E492" s="26"/>
      <c r="F492" s="26"/>
      <c r="G492" s="28"/>
      <c r="H492" s="26"/>
      <c r="I492" s="26"/>
      <c r="J492" s="26"/>
      <c r="K492" s="34"/>
      <c r="L492" s="28"/>
      <c r="M492" s="28"/>
      <c r="N492" s="26"/>
    </row>
    <row r="493" spans="1:14">
      <c r="A493" s="26"/>
      <c r="B493" s="27"/>
      <c r="C493" s="26"/>
      <c r="D493" s="27"/>
      <c r="E493" s="26"/>
      <c r="F493" s="26"/>
      <c r="G493" s="28"/>
      <c r="H493" s="26"/>
      <c r="I493" s="26"/>
      <c r="J493" s="26"/>
      <c r="K493" s="34"/>
      <c r="L493" s="28"/>
      <c r="M493" s="28"/>
      <c r="N493" s="26"/>
    </row>
    <row r="494" spans="1:14">
      <c r="A494" s="26"/>
      <c r="B494" s="27"/>
      <c r="C494" s="26"/>
      <c r="D494" s="27"/>
      <c r="E494" s="26"/>
      <c r="F494" s="26"/>
      <c r="G494" s="28"/>
      <c r="H494" s="26"/>
      <c r="I494" s="26"/>
      <c r="J494" s="26"/>
      <c r="K494" s="34"/>
      <c r="L494" s="28"/>
      <c r="M494" s="28"/>
      <c r="N494" s="26"/>
    </row>
    <row r="495" spans="1:14">
      <c r="A495" s="26"/>
      <c r="B495" s="27"/>
      <c r="C495" s="26"/>
      <c r="D495" s="27"/>
      <c r="E495" s="26"/>
      <c r="F495" s="26"/>
      <c r="G495" s="28"/>
      <c r="H495" s="26"/>
      <c r="I495" s="26"/>
      <c r="J495" s="26"/>
      <c r="K495" s="34"/>
      <c r="L495" s="28"/>
      <c r="M495" s="28"/>
      <c r="N495" s="26"/>
    </row>
    <row r="496" spans="1:14">
      <c r="A496" s="26"/>
      <c r="B496" s="27"/>
      <c r="C496" s="26"/>
      <c r="D496" s="27"/>
      <c r="E496" s="26"/>
      <c r="F496" s="26"/>
      <c r="G496" s="28"/>
      <c r="H496" s="26"/>
      <c r="I496" s="26"/>
      <c r="J496" s="26"/>
      <c r="K496" s="34"/>
      <c r="L496" s="28"/>
      <c r="M496" s="28"/>
      <c r="N496" s="26"/>
    </row>
    <row r="497" spans="1:14">
      <c r="A497" s="26"/>
      <c r="B497" s="27"/>
      <c r="C497" s="26"/>
      <c r="D497" s="27"/>
      <c r="E497" s="26"/>
      <c r="F497" s="26"/>
      <c r="G497" s="28"/>
      <c r="H497" s="26"/>
      <c r="I497" s="26"/>
      <c r="J497" s="26"/>
      <c r="K497" s="34"/>
      <c r="L497" s="28"/>
      <c r="M497" s="28"/>
      <c r="N497" s="26"/>
    </row>
    <row r="498" spans="1:14">
      <c r="A498" s="26"/>
      <c r="B498" s="27"/>
      <c r="C498" s="26"/>
      <c r="D498" s="27"/>
      <c r="E498" s="26"/>
      <c r="F498" s="26"/>
      <c r="G498" s="28"/>
      <c r="H498" s="26"/>
      <c r="I498" s="26"/>
      <c r="J498" s="26"/>
      <c r="K498" s="34"/>
      <c r="L498" s="28"/>
      <c r="M498" s="28"/>
      <c r="N498" s="26"/>
    </row>
    <row r="499" spans="1:14">
      <c r="A499" s="26"/>
      <c r="B499" s="27"/>
      <c r="C499" s="26"/>
      <c r="D499" s="27"/>
      <c r="E499" s="26"/>
      <c r="F499" s="26"/>
      <c r="G499" s="28"/>
      <c r="H499" s="26"/>
      <c r="I499" s="26"/>
      <c r="J499" s="26"/>
      <c r="K499" s="34"/>
      <c r="L499" s="28"/>
      <c r="M499" s="28"/>
      <c r="N499" s="26"/>
    </row>
    <row r="500" spans="1:14">
      <c r="A500" s="26"/>
      <c r="B500" s="27"/>
      <c r="C500" s="26"/>
      <c r="D500" s="27"/>
      <c r="E500" s="26"/>
      <c r="F500" s="26"/>
      <c r="G500" s="28"/>
      <c r="H500" s="26"/>
      <c r="I500" s="26"/>
      <c r="J500" s="26"/>
      <c r="K500" s="34"/>
      <c r="L500" s="28"/>
      <c r="M500" s="28"/>
      <c r="N500" s="26"/>
    </row>
    <row r="501" spans="1:14">
      <c r="A501" s="26"/>
      <c r="B501" s="27"/>
      <c r="C501" s="26"/>
      <c r="D501" s="27"/>
      <c r="E501" s="26"/>
      <c r="F501" s="26"/>
      <c r="G501" s="28"/>
      <c r="H501" s="26"/>
      <c r="I501" s="26"/>
      <c r="J501" s="26"/>
      <c r="K501" s="34"/>
      <c r="L501" s="28"/>
      <c r="M501" s="28"/>
      <c r="N501" s="26"/>
    </row>
    <row r="502" spans="1:14">
      <c r="A502" s="26"/>
      <c r="B502" s="27"/>
      <c r="C502" s="26"/>
      <c r="D502" s="27"/>
      <c r="E502" s="26"/>
      <c r="F502" s="26"/>
      <c r="G502" s="28"/>
      <c r="H502" s="26"/>
      <c r="I502" s="26"/>
      <c r="J502" s="26"/>
      <c r="K502" s="34"/>
      <c r="L502" s="28"/>
      <c r="M502" s="28"/>
      <c r="N502" s="26"/>
    </row>
    <row r="503" spans="1:14">
      <c r="A503" s="26"/>
      <c r="B503" s="27"/>
      <c r="C503" s="26"/>
      <c r="D503" s="27"/>
      <c r="E503" s="26"/>
      <c r="F503" s="26"/>
      <c r="G503" s="28"/>
      <c r="H503" s="26"/>
      <c r="I503" s="26"/>
      <c r="J503" s="26"/>
      <c r="K503" s="34"/>
      <c r="L503" s="28"/>
      <c r="M503" s="28"/>
      <c r="N503" s="26"/>
    </row>
    <row r="504" spans="1:14">
      <c r="A504" s="26"/>
      <c r="B504" s="27"/>
      <c r="C504" s="26"/>
      <c r="D504" s="27"/>
      <c r="E504" s="26"/>
      <c r="F504" s="26"/>
      <c r="G504" s="28"/>
      <c r="H504" s="26"/>
      <c r="I504" s="26"/>
      <c r="J504" s="26"/>
      <c r="K504" s="34"/>
      <c r="L504" s="28"/>
      <c r="M504" s="28"/>
      <c r="N504" s="26"/>
    </row>
    <row r="505" spans="1:14">
      <c r="A505" s="26"/>
      <c r="B505" s="27"/>
      <c r="C505" s="26"/>
      <c r="D505" s="27"/>
      <c r="E505" s="26"/>
      <c r="F505" s="26"/>
      <c r="G505" s="28"/>
      <c r="H505" s="26"/>
      <c r="I505" s="26"/>
      <c r="J505" s="26"/>
      <c r="K505" s="34"/>
      <c r="L505" s="28"/>
      <c r="M505" s="28"/>
      <c r="N505" s="26"/>
    </row>
    <row r="506" spans="1:14">
      <c r="A506" s="26"/>
      <c r="B506" s="27"/>
      <c r="C506" s="26"/>
      <c r="D506" s="27"/>
      <c r="E506" s="26"/>
      <c r="F506" s="26"/>
      <c r="G506" s="28"/>
      <c r="H506" s="26"/>
      <c r="I506" s="26"/>
      <c r="J506" s="26"/>
      <c r="K506" s="34"/>
      <c r="L506" s="28"/>
      <c r="M506" s="28"/>
      <c r="N506" s="26"/>
    </row>
    <row r="507" spans="1:14">
      <c r="A507" s="26"/>
      <c r="B507" s="27"/>
      <c r="C507" s="26"/>
      <c r="D507" s="27"/>
      <c r="E507" s="26"/>
      <c r="F507" s="26"/>
      <c r="G507" s="28"/>
      <c r="H507" s="26"/>
      <c r="I507" s="26"/>
      <c r="J507" s="26"/>
      <c r="K507" s="34"/>
      <c r="L507" s="28"/>
      <c r="M507" s="28"/>
      <c r="N507" s="26"/>
    </row>
    <row r="508" spans="1:14">
      <c r="A508" s="26"/>
      <c r="B508" s="27"/>
      <c r="C508" s="26"/>
      <c r="D508" s="27"/>
      <c r="E508" s="26"/>
      <c r="F508" s="26"/>
      <c r="G508" s="28"/>
      <c r="H508" s="26"/>
      <c r="I508" s="26"/>
      <c r="J508" s="26"/>
      <c r="K508" s="34"/>
      <c r="L508" s="28"/>
      <c r="M508" s="28"/>
      <c r="N508" s="26"/>
    </row>
    <row r="509" spans="1:14">
      <c r="A509" s="26"/>
      <c r="B509" s="27"/>
      <c r="C509" s="26"/>
      <c r="D509" s="27"/>
      <c r="E509" s="26"/>
      <c r="F509" s="26"/>
      <c r="G509" s="28"/>
      <c r="H509" s="26"/>
      <c r="I509" s="26"/>
      <c r="J509" s="26"/>
      <c r="K509" s="34"/>
      <c r="L509" s="28"/>
      <c r="M509" s="28"/>
      <c r="N509" s="26"/>
    </row>
    <row r="510" spans="1:14">
      <c r="A510" s="26"/>
      <c r="B510" s="27"/>
      <c r="C510" s="26"/>
      <c r="D510" s="27"/>
      <c r="E510" s="26"/>
      <c r="F510" s="26"/>
      <c r="G510" s="28"/>
      <c r="H510" s="26"/>
      <c r="I510" s="26"/>
      <c r="J510" s="26"/>
      <c r="K510" s="34"/>
      <c r="L510" s="28"/>
      <c r="M510" s="28"/>
      <c r="N510" s="26"/>
    </row>
    <row r="511" spans="1:14">
      <c r="A511" s="26"/>
      <c r="B511" s="27"/>
      <c r="C511" s="26"/>
      <c r="D511" s="27"/>
      <c r="E511" s="26"/>
      <c r="F511" s="26"/>
      <c r="G511" s="28"/>
      <c r="H511" s="26"/>
      <c r="I511" s="26"/>
      <c r="J511" s="26"/>
      <c r="K511" s="34"/>
      <c r="L511" s="28"/>
      <c r="M511" s="28"/>
      <c r="N511" s="26"/>
    </row>
    <row r="512" spans="1:14">
      <c r="A512" s="26"/>
      <c r="B512" s="27"/>
      <c r="C512" s="26"/>
      <c r="D512" s="27"/>
      <c r="E512" s="26"/>
      <c r="F512" s="26"/>
      <c r="G512" s="28"/>
      <c r="H512" s="26"/>
      <c r="I512" s="26"/>
      <c r="J512" s="26"/>
      <c r="K512" s="34"/>
      <c r="L512" s="28"/>
      <c r="M512" s="28"/>
      <c r="N512" s="26"/>
    </row>
    <row r="513" spans="1:14">
      <c r="A513" s="26"/>
      <c r="B513" s="27"/>
      <c r="C513" s="26"/>
      <c r="D513" s="27"/>
      <c r="E513" s="26"/>
      <c r="F513" s="26"/>
      <c r="G513" s="28"/>
      <c r="H513" s="26"/>
      <c r="I513" s="26"/>
      <c r="J513" s="26"/>
      <c r="K513" s="34"/>
      <c r="L513" s="28"/>
      <c r="M513" s="28"/>
      <c r="N513" s="26"/>
    </row>
    <row r="514" spans="1:14">
      <c r="A514" s="26"/>
      <c r="B514" s="27"/>
      <c r="C514" s="26"/>
      <c r="D514" s="27"/>
      <c r="E514" s="26"/>
      <c r="F514" s="26"/>
      <c r="G514" s="28"/>
      <c r="H514" s="26"/>
      <c r="I514" s="26"/>
      <c r="J514" s="26"/>
      <c r="K514" s="34"/>
      <c r="L514" s="28"/>
      <c r="M514" s="28"/>
      <c r="N514" s="26"/>
    </row>
    <row r="515" spans="1:14">
      <c r="A515" s="26"/>
      <c r="B515" s="27"/>
      <c r="C515" s="26"/>
      <c r="D515" s="27"/>
      <c r="E515" s="26"/>
      <c r="F515" s="26"/>
      <c r="G515" s="28"/>
      <c r="H515" s="26"/>
      <c r="I515" s="26"/>
      <c r="J515" s="26"/>
      <c r="K515" s="34"/>
      <c r="L515" s="28"/>
      <c r="M515" s="28"/>
      <c r="N515" s="26"/>
    </row>
    <row r="516" spans="1:14">
      <c r="A516" s="26"/>
      <c r="B516" s="27"/>
      <c r="C516" s="26"/>
      <c r="D516" s="27"/>
      <c r="E516" s="26"/>
      <c r="F516" s="26"/>
      <c r="G516" s="28"/>
      <c r="H516" s="26"/>
      <c r="I516" s="26"/>
      <c r="J516" s="26"/>
      <c r="K516" s="34"/>
      <c r="L516" s="28"/>
      <c r="M516" s="28"/>
      <c r="N516" s="26"/>
    </row>
    <row r="517" spans="1:14">
      <c r="A517" s="26"/>
      <c r="B517" s="27"/>
      <c r="C517" s="26"/>
      <c r="D517" s="27"/>
      <c r="E517" s="26"/>
      <c r="F517" s="26"/>
      <c r="G517" s="28"/>
      <c r="H517" s="26"/>
      <c r="I517" s="26"/>
      <c r="J517" s="26"/>
      <c r="K517" s="34"/>
      <c r="L517" s="28"/>
      <c r="M517" s="28"/>
      <c r="N517" s="26"/>
    </row>
    <row r="518" spans="1:14">
      <c r="A518" s="26"/>
      <c r="B518" s="27"/>
      <c r="C518" s="26"/>
      <c r="D518" s="27"/>
      <c r="E518" s="26"/>
      <c r="F518" s="26"/>
      <c r="G518" s="28"/>
      <c r="H518" s="26"/>
      <c r="I518" s="26"/>
      <c r="J518" s="26"/>
      <c r="K518" s="34"/>
      <c r="L518" s="28"/>
      <c r="M518" s="28"/>
      <c r="N518" s="26"/>
    </row>
    <row r="519" spans="1:14">
      <c r="A519" s="26"/>
      <c r="B519" s="27"/>
      <c r="C519" s="26"/>
      <c r="D519" s="27"/>
      <c r="E519" s="26"/>
      <c r="F519" s="26"/>
      <c r="G519" s="28"/>
      <c r="H519" s="26"/>
      <c r="I519" s="26"/>
      <c r="J519" s="26"/>
      <c r="K519" s="34"/>
      <c r="L519" s="28"/>
      <c r="M519" s="28"/>
      <c r="N519" s="26"/>
    </row>
    <row r="520" spans="1:14">
      <c r="A520" s="26"/>
      <c r="B520" s="27"/>
      <c r="C520" s="26"/>
      <c r="D520" s="27"/>
      <c r="E520" s="26"/>
      <c r="F520" s="26"/>
      <c r="G520" s="28"/>
      <c r="H520" s="26"/>
      <c r="I520" s="26"/>
      <c r="J520" s="26"/>
      <c r="K520" s="34"/>
      <c r="L520" s="28"/>
      <c r="M520" s="28"/>
      <c r="N520" s="26"/>
    </row>
    <row r="521" spans="1:14">
      <c r="A521" s="26"/>
      <c r="B521" s="27"/>
      <c r="C521" s="26"/>
      <c r="D521" s="27"/>
      <c r="E521" s="26"/>
      <c r="F521" s="26"/>
      <c r="G521" s="28"/>
      <c r="H521" s="26"/>
      <c r="I521" s="26"/>
      <c r="J521" s="26"/>
      <c r="K521" s="34"/>
      <c r="L521" s="28"/>
      <c r="M521" s="28"/>
      <c r="N521" s="26"/>
    </row>
    <row r="522" spans="1:14">
      <c r="A522" s="26"/>
      <c r="B522" s="27"/>
      <c r="C522" s="26"/>
      <c r="D522" s="27"/>
      <c r="E522" s="26"/>
      <c r="F522" s="26"/>
      <c r="G522" s="28"/>
      <c r="H522" s="26"/>
      <c r="I522" s="26"/>
      <c r="J522" s="26"/>
      <c r="K522" s="34"/>
      <c r="L522" s="28"/>
      <c r="M522" s="28"/>
      <c r="N522" s="26"/>
    </row>
    <row r="523" spans="1:14">
      <c r="A523" s="26"/>
      <c r="B523" s="27"/>
      <c r="C523" s="26"/>
      <c r="D523" s="27"/>
      <c r="E523" s="26"/>
      <c r="F523" s="26"/>
      <c r="G523" s="28"/>
      <c r="H523" s="26"/>
      <c r="I523" s="26"/>
      <c r="J523" s="26"/>
      <c r="K523" s="34"/>
      <c r="L523" s="28"/>
      <c r="M523" s="28"/>
      <c r="N523" s="26"/>
    </row>
    <row r="524" spans="1:14">
      <c r="A524" s="26"/>
      <c r="B524" s="27"/>
      <c r="C524" s="26"/>
      <c r="D524" s="27"/>
      <c r="E524" s="26"/>
      <c r="F524" s="26"/>
      <c r="G524" s="28"/>
      <c r="H524" s="26"/>
      <c r="I524" s="26"/>
      <c r="J524" s="26"/>
      <c r="K524" s="34"/>
      <c r="L524" s="28"/>
      <c r="M524" s="28"/>
      <c r="N524" s="26"/>
    </row>
    <row r="525" spans="1:14">
      <c r="A525" s="26"/>
      <c r="B525" s="27"/>
      <c r="C525" s="26"/>
      <c r="D525" s="27"/>
      <c r="E525" s="26"/>
      <c r="F525" s="26"/>
      <c r="G525" s="28"/>
      <c r="H525" s="26"/>
      <c r="I525" s="26"/>
      <c r="J525" s="26"/>
      <c r="K525" s="34"/>
      <c r="L525" s="28"/>
      <c r="M525" s="28"/>
      <c r="N525" s="26"/>
    </row>
    <row r="526" spans="1:14">
      <c r="A526" s="26"/>
      <c r="B526" s="27"/>
      <c r="C526" s="26"/>
      <c r="D526" s="27"/>
      <c r="E526" s="26"/>
      <c r="F526" s="26"/>
      <c r="G526" s="28"/>
      <c r="H526" s="26"/>
      <c r="I526" s="26"/>
      <c r="J526" s="26"/>
      <c r="K526" s="34"/>
      <c r="L526" s="28"/>
      <c r="M526" s="28"/>
      <c r="N526" s="26"/>
    </row>
    <row r="527" spans="1:14">
      <c r="A527" s="26"/>
      <c r="B527" s="27"/>
      <c r="C527" s="26"/>
      <c r="D527" s="27"/>
      <c r="E527" s="26"/>
      <c r="F527" s="26"/>
      <c r="G527" s="28"/>
      <c r="H527" s="26"/>
      <c r="I527" s="26"/>
      <c r="J527" s="26"/>
      <c r="K527" s="34"/>
      <c r="L527" s="28"/>
      <c r="M527" s="28"/>
      <c r="N527" s="26"/>
    </row>
    <row r="528" spans="1:14">
      <c r="A528" s="26"/>
      <c r="B528" s="27"/>
      <c r="C528" s="26"/>
      <c r="D528" s="27"/>
      <c r="E528" s="26"/>
      <c r="F528" s="26"/>
      <c r="G528" s="28"/>
      <c r="H528" s="26"/>
      <c r="I528" s="26"/>
      <c r="J528" s="26"/>
      <c r="K528" s="34"/>
      <c r="L528" s="28"/>
      <c r="M528" s="28"/>
      <c r="N528" s="26"/>
    </row>
    <row r="529" spans="1:14">
      <c r="A529" s="26"/>
      <c r="B529" s="27"/>
      <c r="C529" s="26"/>
      <c r="D529" s="27"/>
      <c r="E529" s="26"/>
      <c r="F529" s="26"/>
      <c r="G529" s="28"/>
      <c r="H529" s="26"/>
      <c r="I529" s="26"/>
      <c r="J529" s="26"/>
      <c r="K529" s="34"/>
      <c r="L529" s="28"/>
      <c r="M529" s="28"/>
      <c r="N529" s="26"/>
    </row>
    <row r="530" spans="1:14">
      <c r="A530" s="26"/>
      <c r="B530" s="27"/>
      <c r="C530" s="26"/>
      <c r="D530" s="27"/>
      <c r="E530" s="26"/>
      <c r="F530" s="26"/>
      <c r="G530" s="28"/>
      <c r="H530" s="26"/>
      <c r="I530" s="26"/>
      <c r="J530" s="26"/>
      <c r="K530" s="34"/>
      <c r="L530" s="28"/>
      <c r="M530" s="28"/>
      <c r="N530" s="26"/>
    </row>
    <row r="531" spans="1:14">
      <c r="A531" s="26"/>
      <c r="B531" s="27"/>
      <c r="C531" s="26"/>
      <c r="D531" s="27"/>
      <c r="E531" s="26"/>
      <c r="F531" s="26"/>
      <c r="G531" s="28"/>
      <c r="H531" s="26"/>
      <c r="I531" s="26"/>
      <c r="J531" s="26"/>
      <c r="K531" s="34"/>
      <c r="L531" s="28"/>
      <c r="M531" s="28"/>
      <c r="N531" s="26"/>
    </row>
    <row r="532" spans="1:14">
      <c r="A532" s="26"/>
      <c r="B532" s="27"/>
      <c r="C532" s="26"/>
      <c r="D532" s="27"/>
      <c r="E532" s="26"/>
      <c r="F532" s="26"/>
      <c r="G532" s="28"/>
      <c r="H532" s="26"/>
      <c r="I532" s="26"/>
      <c r="J532" s="26"/>
      <c r="K532" s="34"/>
      <c r="L532" s="28"/>
      <c r="M532" s="28"/>
      <c r="N532" s="26"/>
    </row>
    <row r="533" spans="1:14">
      <c r="A533" s="26"/>
      <c r="B533" s="27"/>
      <c r="C533" s="26"/>
      <c r="D533" s="27"/>
      <c r="E533" s="26"/>
      <c r="F533" s="26"/>
      <c r="G533" s="28"/>
      <c r="H533" s="26"/>
      <c r="I533" s="26"/>
      <c r="J533" s="26"/>
      <c r="K533" s="34"/>
      <c r="L533" s="28"/>
      <c r="M533" s="28"/>
      <c r="N533" s="26"/>
    </row>
    <row r="534" spans="1:14">
      <c r="A534" s="26"/>
      <c r="B534" s="27"/>
      <c r="C534" s="26"/>
      <c r="D534" s="27"/>
      <c r="E534" s="26"/>
      <c r="F534" s="26"/>
      <c r="G534" s="28"/>
      <c r="H534" s="26"/>
      <c r="I534" s="26"/>
      <c r="J534" s="26"/>
      <c r="K534" s="34"/>
      <c r="L534" s="28"/>
      <c r="M534" s="28"/>
      <c r="N534" s="26"/>
    </row>
    <row r="535" spans="1:14">
      <c r="A535" s="26"/>
      <c r="B535" s="27"/>
      <c r="C535" s="26"/>
      <c r="D535" s="27"/>
      <c r="E535" s="26"/>
      <c r="F535" s="26"/>
      <c r="G535" s="28"/>
      <c r="H535" s="26"/>
      <c r="I535" s="26"/>
      <c r="J535" s="26"/>
      <c r="K535" s="34"/>
      <c r="L535" s="28"/>
      <c r="M535" s="28"/>
      <c r="N535" s="26"/>
    </row>
    <row r="536" spans="1:14">
      <c r="A536" s="26"/>
      <c r="B536" s="27"/>
      <c r="C536" s="26"/>
      <c r="D536" s="27"/>
      <c r="E536" s="26"/>
      <c r="F536" s="26"/>
      <c r="G536" s="28"/>
      <c r="H536" s="26"/>
      <c r="I536" s="26"/>
      <c r="J536" s="26"/>
      <c r="K536" s="34"/>
      <c r="L536" s="28"/>
      <c r="M536" s="28"/>
      <c r="N536" s="26"/>
    </row>
    <row r="537" spans="1:14">
      <c r="A537" s="26"/>
      <c r="B537" s="27"/>
      <c r="C537" s="26"/>
      <c r="D537" s="27"/>
      <c r="E537" s="26"/>
      <c r="F537" s="26"/>
      <c r="G537" s="28"/>
      <c r="H537" s="26"/>
      <c r="I537" s="26"/>
      <c r="J537" s="26"/>
      <c r="K537" s="34"/>
      <c r="L537" s="28"/>
      <c r="M537" s="28"/>
      <c r="N537" s="26"/>
    </row>
    <row r="538" spans="1:14">
      <c r="A538" s="26"/>
      <c r="B538" s="27"/>
      <c r="C538" s="26"/>
      <c r="D538" s="27"/>
      <c r="E538" s="26"/>
      <c r="F538" s="26"/>
      <c r="G538" s="28"/>
      <c r="H538" s="26"/>
      <c r="I538" s="26"/>
      <c r="J538" s="26"/>
      <c r="K538" s="34"/>
      <c r="L538" s="28"/>
      <c r="M538" s="28"/>
      <c r="N538" s="26"/>
    </row>
    <row r="539" spans="1:14">
      <c r="A539" s="26"/>
      <c r="B539" s="27"/>
      <c r="C539" s="26"/>
      <c r="D539" s="27"/>
      <c r="E539" s="26"/>
      <c r="F539" s="26"/>
      <c r="G539" s="28"/>
      <c r="H539" s="26"/>
      <c r="I539" s="26"/>
      <c r="J539" s="26"/>
      <c r="K539" s="34"/>
      <c r="L539" s="28"/>
      <c r="M539" s="28"/>
      <c r="N539" s="26"/>
    </row>
    <row r="540" spans="1:14">
      <c r="A540" s="26"/>
      <c r="B540" s="27"/>
      <c r="C540" s="26"/>
      <c r="D540" s="27"/>
      <c r="E540" s="26"/>
      <c r="F540" s="26"/>
      <c r="G540" s="28"/>
      <c r="H540" s="26"/>
      <c r="I540" s="26"/>
      <c r="J540" s="26"/>
      <c r="K540" s="34"/>
      <c r="L540" s="28"/>
      <c r="M540" s="28"/>
      <c r="N540" s="26"/>
    </row>
    <row r="541" spans="1:14">
      <c r="A541" s="26"/>
      <c r="B541" s="27"/>
      <c r="C541" s="26"/>
      <c r="D541" s="27"/>
      <c r="E541" s="26"/>
      <c r="F541" s="26"/>
      <c r="G541" s="28"/>
      <c r="H541" s="26"/>
      <c r="I541" s="26"/>
      <c r="J541" s="26"/>
      <c r="K541" s="34"/>
      <c r="L541" s="28"/>
      <c r="M541" s="28"/>
      <c r="N541" s="26"/>
    </row>
    <row r="542" spans="1:14">
      <c r="A542" s="26"/>
      <c r="B542" s="27"/>
      <c r="C542" s="26"/>
      <c r="D542" s="27"/>
      <c r="E542" s="26"/>
      <c r="F542" s="26"/>
      <c r="G542" s="28"/>
      <c r="H542" s="26"/>
      <c r="I542" s="26"/>
      <c r="J542" s="26"/>
      <c r="K542" s="34"/>
      <c r="L542" s="28"/>
      <c r="M542" s="28"/>
      <c r="N542" s="26"/>
    </row>
    <row r="543" spans="1:14">
      <c r="A543" s="26"/>
      <c r="B543" s="27"/>
      <c r="C543" s="26"/>
      <c r="D543" s="27"/>
      <c r="E543" s="26"/>
      <c r="F543" s="26"/>
      <c r="G543" s="28"/>
      <c r="H543" s="26"/>
      <c r="I543" s="26"/>
      <c r="J543" s="26"/>
      <c r="K543" s="34"/>
      <c r="L543" s="28"/>
      <c r="M543" s="28"/>
      <c r="N543" s="26"/>
    </row>
    <row r="544" spans="1:14">
      <c r="A544" s="26"/>
      <c r="B544" s="27"/>
      <c r="C544" s="26"/>
      <c r="D544" s="27"/>
      <c r="E544" s="26"/>
      <c r="F544" s="26"/>
      <c r="G544" s="28"/>
      <c r="H544" s="26"/>
      <c r="I544" s="26"/>
      <c r="J544" s="26"/>
      <c r="K544" s="34"/>
      <c r="L544" s="28"/>
      <c r="M544" s="28"/>
      <c r="N544" s="26"/>
    </row>
    <row r="545" spans="1:14">
      <c r="A545" s="26"/>
      <c r="B545" s="27"/>
      <c r="C545" s="26"/>
      <c r="D545" s="27"/>
      <c r="E545" s="26"/>
      <c r="F545" s="26"/>
      <c r="G545" s="28"/>
      <c r="H545" s="26"/>
      <c r="I545" s="26"/>
      <c r="J545" s="26"/>
      <c r="K545" s="34"/>
      <c r="L545" s="28"/>
      <c r="M545" s="28"/>
      <c r="N545" s="26"/>
    </row>
    <row r="546" spans="1:14">
      <c r="A546" s="26"/>
      <c r="B546" s="27"/>
      <c r="C546" s="26"/>
      <c r="D546" s="27"/>
      <c r="E546" s="26"/>
      <c r="F546" s="26"/>
      <c r="G546" s="28"/>
      <c r="H546" s="26"/>
      <c r="I546" s="26"/>
      <c r="J546" s="26"/>
      <c r="K546" s="34"/>
      <c r="L546" s="28"/>
      <c r="M546" s="28"/>
      <c r="N546" s="26"/>
    </row>
    <row r="547" spans="1:14">
      <c r="A547" s="26"/>
      <c r="B547" s="27"/>
      <c r="C547" s="26"/>
      <c r="D547" s="27"/>
      <c r="E547" s="26"/>
      <c r="F547" s="26"/>
      <c r="G547" s="28"/>
      <c r="H547" s="26"/>
      <c r="I547" s="26"/>
      <c r="J547" s="26"/>
      <c r="K547" s="34"/>
      <c r="L547" s="28"/>
      <c r="M547" s="28"/>
      <c r="N547" s="26"/>
    </row>
    <row r="548" spans="1:14">
      <c r="A548" s="26"/>
      <c r="B548" s="27"/>
      <c r="C548" s="26"/>
      <c r="D548" s="27"/>
      <c r="E548" s="26"/>
      <c r="F548" s="26"/>
      <c r="G548" s="28"/>
      <c r="H548" s="26"/>
      <c r="I548" s="26"/>
      <c r="J548" s="26"/>
      <c r="K548" s="34"/>
      <c r="L548" s="28"/>
      <c r="M548" s="28"/>
      <c r="N548" s="26"/>
    </row>
    <row r="549" spans="1:14">
      <c r="A549" s="26"/>
      <c r="B549" s="27"/>
      <c r="C549" s="26"/>
      <c r="D549" s="27"/>
      <c r="E549" s="26"/>
      <c r="F549" s="26"/>
      <c r="G549" s="28"/>
      <c r="H549" s="26"/>
      <c r="I549" s="26"/>
      <c r="J549" s="26"/>
      <c r="K549" s="34"/>
      <c r="L549" s="28"/>
      <c r="M549" s="28"/>
      <c r="N549" s="26"/>
    </row>
    <row r="550" spans="1:14">
      <c r="A550" s="26"/>
      <c r="B550" s="27"/>
      <c r="C550" s="26"/>
      <c r="D550" s="27"/>
      <c r="E550" s="26"/>
      <c r="F550" s="26"/>
      <c r="G550" s="28"/>
      <c r="H550" s="26"/>
      <c r="I550" s="26"/>
      <c r="J550" s="26"/>
      <c r="K550" s="34"/>
      <c r="L550" s="28"/>
      <c r="M550" s="28"/>
      <c r="N550" s="26"/>
    </row>
    <row r="551" spans="1:14">
      <c r="A551" s="26"/>
      <c r="B551" s="27"/>
      <c r="C551" s="26"/>
      <c r="D551" s="27"/>
      <c r="E551" s="26"/>
      <c r="F551" s="26"/>
      <c r="G551" s="28"/>
      <c r="H551" s="26"/>
      <c r="I551" s="26"/>
      <c r="J551" s="26"/>
      <c r="K551" s="34"/>
      <c r="L551" s="28"/>
      <c r="M551" s="28"/>
      <c r="N551" s="26"/>
    </row>
    <row r="552" spans="1:14">
      <c r="A552" s="26"/>
      <c r="B552" s="27"/>
      <c r="C552" s="26"/>
      <c r="D552" s="27"/>
      <c r="E552" s="26"/>
      <c r="F552" s="26"/>
      <c r="G552" s="28"/>
      <c r="H552" s="26"/>
      <c r="I552" s="26"/>
      <c r="J552" s="26"/>
      <c r="K552" s="34"/>
      <c r="L552" s="28"/>
      <c r="M552" s="28"/>
      <c r="N552" s="26"/>
    </row>
    <row r="553" spans="1:14">
      <c r="A553" s="26"/>
      <c r="B553" s="27"/>
      <c r="C553" s="26"/>
      <c r="D553" s="27"/>
      <c r="E553" s="26"/>
      <c r="F553" s="26"/>
      <c r="G553" s="28"/>
      <c r="H553" s="26"/>
      <c r="I553" s="26"/>
      <c r="J553" s="26"/>
      <c r="K553" s="34"/>
      <c r="L553" s="28"/>
      <c r="M553" s="28"/>
      <c r="N553" s="26"/>
    </row>
    <row r="554" spans="1:14">
      <c r="A554" s="26"/>
      <c r="B554" s="27"/>
      <c r="C554" s="26"/>
      <c r="D554" s="27"/>
      <c r="E554" s="26"/>
      <c r="F554" s="26"/>
      <c r="G554" s="28"/>
      <c r="H554" s="26"/>
      <c r="I554" s="26"/>
      <c r="J554" s="26"/>
      <c r="K554" s="34"/>
      <c r="L554" s="28"/>
      <c r="M554" s="28"/>
      <c r="N554" s="26"/>
    </row>
    <row r="555" spans="1:14">
      <c r="A555" s="26"/>
      <c r="B555" s="27"/>
      <c r="C555" s="26"/>
      <c r="D555" s="27"/>
      <c r="E555" s="26"/>
      <c r="F555" s="26"/>
      <c r="G555" s="28"/>
      <c r="H555" s="26"/>
      <c r="I555" s="26"/>
      <c r="J555" s="26"/>
      <c r="K555" s="34"/>
      <c r="L555" s="28"/>
      <c r="M555" s="28"/>
      <c r="N555" s="26"/>
    </row>
    <row r="556" spans="1:14">
      <c r="A556" s="26"/>
      <c r="B556" s="27"/>
      <c r="C556" s="26"/>
      <c r="D556" s="27"/>
      <c r="E556" s="26"/>
      <c r="F556" s="26"/>
      <c r="G556" s="28"/>
      <c r="H556" s="26"/>
      <c r="I556" s="26"/>
      <c r="J556" s="26"/>
      <c r="K556" s="34"/>
      <c r="L556" s="28"/>
      <c r="M556" s="28"/>
      <c r="N556" s="26"/>
    </row>
    <row r="557" spans="1:14">
      <c r="A557" s="26"/>
      <c r="B557" s="27"/>
      <c r="C557" s="26"/>
      <c r="D557" s="27"/>
      <c r="E557" s="26"/>
      <c r="F557" s="26"/>
      <c r="G557" s="28"/>
      <c r="H557" s="26"/>
      <c r="I557" s="26"/>
      <c r="J557" s="26"/>
      <c r="K557" s="34"/>
      <c r="L557" s="28"/>
      <c r="M557" s="28"/>
      <c r="N557" s="26"/>
    </row>
    <row r="558" spans="1:14">
      <c r="A558" s="26"/>
      <c r="B558" s="27"/>
      <c r="C558" s="26"/>
      <c r="D558" s="27"/>
      <c r="E558" s="26"/>
      <c r="F558" s="26"/>
      <c r="G558" s="28"/>
      <c r="H558" s="26"/>
      <c r="I558" s="26"/>
      <c r="J558" s="26"/>
      <c r="K558" s="34"/>
      <c r="L558" s="28"/>
      <c r="M558" s="28"/>
      <c r="N558" s="26"/>
    </row>
    <row r="559" spans="1:14">
      <c r="A559" s="26"/>
      <c r="B559" s="27"/>
      <c r="C559" s="26"/>
      <c r="D559" s="27"/>
      <c r="E559" s="26"/>
      <c r="F559" s="26"/>
      <c r="G559" s="28"/>
      <c r="H559" s="26"/>
      <c r="I559" s="26"/>
      <c r="J559" s="26"/>
      <c r="K559" s="34"/>
      <c r="L559" s="28"/>
      <c r="M559" s="28"/>
      <c r="N559" s="26"/>
    </row>
    <row r="560" spans="1:14">
      <c r="A560" s="26"/>
      <c r="B560" s="27"/>
      <c r="C560" s="26"/>
      <c r="D560" s="27"/>
      <c r="E560" s="26"/>
      <c r="F560" s="26"/>
      <c r="G560" s="28"/>
      <c r="H560" s="26"/>
      <c r="I560" s="26"/>
      <c r="J560" s="26"/>
      <c r="K560" s="34"/>
      <c r="L560" s="28"/>
      <c r="M560" s="28"/>
      <c r="N560" s="26"/>
    </row>
    <row r="561" spans="1:14">
      <c r="A561" s="26"/>
      <c r="B561" s="27"/>
      <c r="C561" s="26"/>
      <c r="D561" s="27"/>
      <c r="E561" s="26"/>
      <c r="F561" s="26"/>
      <c r="G561" s="28"/>
      <c r="H561" s="26"/>
      <c r="I561" s="26"/>
      <c r="J561" s="26"/>
      <c r="K561" s="34"/>
      <c r="L561" s="28"/>
      <c r="M561" s="28"/>
      <c r="N561" s="26"/>
    </row>
    <row r="562" spans="1:14">
      <c r="A562" s="26"/>
      <c r="B562" s="27"/>
      <c r="C562" s="26"/>
      <c r="D562" s="27"/>
      <c r="E562" s="26"/>
      <c r="F562" s="26"/>
      <c r="G562" s="28"/>
      <c r="H562" s="26"/>
      <c r="I562" s="26"/>
      <c r="J562" s="26"/>
      <c r="K562" s="34"/>
      <c r="L562" s="28"/>
      <c r="M562" s="28"/>
      <c r="N562" s="26"/>
    </row>
    <row r="563" spans="1:14">
      <c r="A563" s="26"/>
      <c r="B563" s="27"/>
      <c r="C563" s="26"/>
      <c r="D563" s="27"/>
      <c r="E563" s="26"/>
      <c r="F563" s="26"/>
      <c r="G563" s="28"/>
      <c r="H563" s="26"/>
      <c r="I563" s="26"/>
      <c r="J563" s="26"/>
      <c r="K563" s="34"/>
      <c r="L563" s="28"/>
      <c r="M563" s="28"/>
      <c r="N563" s="26"/>
    </row>
    <row r="564" spans="1:14">
      <c r="A564" s="26"/>
      <c r="B564" s="27"/>
      <c r="C564" s="26"/>
      <c r="D564" s="27"/>
      <c r="E564" s="26"/>
      <c r="F564" s="26"/>
      <c r="G564" s="28"/>
      <c r="H564" s="26"/>
      <c r="I564" s="26"/>
      <c r="J564" s="26"/>
      <c r="K564" s="34"/>
      <c r="L564" s="28"/>
      <c r="M564" s="28"/>
      <c r="N564" s="26"/>
    </row>
    <row r="565" spans="1:14">
      <c r="A565" s="26"/>
      <c r="B565" s="27"/>
      <c r="C565" s="26"/>
      <c r="D565" s="27"/>
      <c r="E565" s="26"/>
      <c r="F565" s="26"/>
      <c r="G565" s="28"/>
      <c r="H565" s="26"/>
      <c r="I565" s="26"/>
      <c r="J565" s="26"/>
      <c r="K565" s="34"/>
      <c r="L565" s="28"/>
      <c r="M565" s="28"/>
      <c r="N565" s="26"/>
    </row>
    <row r="566" spans="1:14">
      <c r="A566" s="26"/>
      <c r="B566" s="27"/>
      <c r="C566" s="26"/>
      <c r="D566" s="27"/>
      <c r="E566" s="26"/>
      <c r="F566" s="26"/>
      <c r="G566" s="28"/>
      <c r="H566" s="26"/>
      <c r="I566" s="26"/>
      <c r="J566" s="26"/>
      <c r="K566" s="34"/>
      <c r="L566" s="28"/>
      <c r="M566" s="28"/>
      <c r="N566" s="26"/>
    </row>
    <row r="567" spans="1:14">
      <c r="A567" s="26"/>
      <c r="B567" s="27"/>
      <c r="C567" s="26"/>
      <c r="D567" s="27"/>
      <c r="E567" s="26"/>
      <c r="F567" s="26"/>
      <c r="G567" s="28"/>
      <c r="H567" s="26"/>
      <c r="I567" s="26"/>
      <c r="J567" s="26"/>
      <c r="K567" s="34"/>
      <c r="L567" s="28"/>
      <c r="M567" s="28"/>
      <c r="N567" s="26"/>
    </row>
    <row r="568" spans="1:14">
      <c r="A568" s="26"/>
      <c r="B568" s="27"/>
      <c r="C568" s="26"/>
      <c r="D568" s="27"/>
      <c r="E568" s="26"/>
      <c r="F568" s="26"/>
      <c r="G568" s="28"/>
      <c r="H568" s="26"/>
      <c r="I568" s="26"/>
      <c r="J568" s="26"/>
      <c r="K568" s="34"/>
      <c r="L568" s="28"/>
      <c r="M568" s="28"/>
      <c r="N568" s="26"/>
    </row>
    <row r="569" spans="1:14">
      <c r="A569" s="26"/>
      <c r="B569" s="27"/>
      <c r="C569" s="26"/>
      <c r="D569" s="27"/>
      <c r="E569" s="26"/>
      <c r="F569" s="26"/>
      <c r="G569" s="28"/>
      <c r="H569" s="26"/>
      <c r="I569" s="26"/>
      <c r="J569" s="26"/>
      <c r="K569" s="34"/>
      <c r="L569" s="28"/>
      <c r="M569" s="28"/>
      <c r="N569" s="26"/>
    </row>
    <row r="570" spans="1:14">
      <c r="A570" s="26"/>
      <c r="B570" s="27"/>
      <c r="C570" s="26"/>
      <c r="D570" s="27"/>
      <c r="E570" s="26"/>
      <c r="F570" s="26"/>
      <c r="G570" s="28"/>
      <c r="H570" s="26"/>
      <c r="I570" s="26"/>
      <c r="J570" s="26"/>
      <c r="K570" s="34"/>
      <c r="L570" s="28"/>
      <c r="M570" s="28"/>
      <c r="N570" s="26"/>
    </row>
    <row r="571" spans="1:14">
      <c r="A571" s="26"/>
      <c r="B571" s="27"/>
      <c r="C571" s="26"/>
      <c r="D571" s="27"/>
      <c r="E571" s="26"/>
      <c r="F571" s="26"/>
      <c r="G571" s="28"/>
      <c r="H571" s="26"/>
      <c r="I571" s="26"/>
      <c r="J571" s="26"/>
      <c r="K571" s="34"/>
      <c r="L571" s="28"/>
      <c r="M571" s="28"/>
      <c r="N571" s="26"/>
    </row>
    <row r="572" spans="1:14">
      <c r="A572" s="26"/>
      <c r="B572" s="27"/>
      <c r="C572" s="26"/>
      <c r="D572" s="27"/>
      <c r="E572" s="26"/>
      <c r="F572" s="26"/>
      <c r="G572" s="28"/>
      <c r="H572" s="26"/>
      <c r="I572" s="26"/>
      <c r="J572" s="26"/>
      <c r="K572" s="34"/>
      <c r="L572" s="28"/>
      <c r="M572" s="28"/>
      <c r="N572" s="26"/>
    </row>
    <row r="573" spans="1:14">
      <c r="A573" s="26"/>
      <c r="B573" s="27"/>
      <c r="C573" s="26"/>
      <c r="D573" s="27"/>
      <c r="E573" s="26"/>
      <c r="F573" s="26"/>
      <c r="G573" s="28"/>
      <c r="H573" s="26"/>
      <c r="I573" s="26"/>
      <c r="J573" s="26"/>
      <c r="K573" s="34"/>
      <c r="L573" s="28"/>
      <c r="M573" s="28"/>
      <c r="N573" s="26"/>
    </row>
    <row r="574" spans="1:14">
      <c r="A574" s="26"/>
      <c r="B574" s="27"/>
      <c r="C574" s="26"/>
      <c r="D574" s="27"/>
      <c r="E574" s="26"/>
      <c r="F574" s="26"/>
      <c r="G574" s="28"/>
      <c r="H574" s="26"/>
      <c r="I574" s="26"/>
      <c r="J574" s="26"/>
      <c r="K574" s="34"/>
      <c r="L574" s="28"/>
      <c r="M574" s="28"/>
      <c r="N574" s="26"/>
    </row>
    <row r="575" spans="1:14">
      <c r="A575" s="26"/>
      <c r="B575" s="27"/>
      <c r="C575" s="26"/>
      <c r="D575" s="27"/>
      <c r="E575" s="26"/>
      <c r="F575" s="26"/>
      <c r="G575" s="28"/>
      <c r="H575" s="26"/>
      <c r="I575" s="26"/>
      <c r="J575" s="26"/>
      <c r="K575" s="34"/>
      <c r="L575" s="28"/>
      <c r="M575" s="28"/>
      <c r="N575" s="26"/>
    </row>
    <row r="576" spans="1:14">
      <c r="A576" s="26"/>
      <c r="B576" s="27"/>
      <c r="C576" s="26"/>
      <c r="D576" s="27"/>
      <c r="E576" s="26"/>
      <c r="F576" s="26"/>
      <c r="G576" s="28"/>
      <c r="H576" s="26"/>
      <c r="I576" s="26"/>
      <c r="J576" s="26"/>
      <c r="K576" s="34"/>
      <c r="L576" s="28"/>
      <c r="M576" s="28"/>
      <c r="N576" s="26"/>
    </row>
    <row r="577" spans="1:14">
      <c r="A577" s="26"/>
      <c r="B577" s="27"/>
      <c r="C577" s="26"/>
      <c r="D577" s="27"/>
      <c r="E577" s="26"/>
      <c r="F577" s="26"/>
      <c r="G577" s="28"/>
      <c r="H577" s="26"/>
      <c r="I577" s="26"/>
      <c r="J577" s="26"/>
      <c r="K577" s="34"/>
      <c r="L577" s="28"/>
      <c r="M577" s="28"/>
      <c r="N577" s="26"/>
    </row>
    <row r="578" spans="1:14">
      <c r="A578" s="26"/>
      <c r="B578" s="27"/>
      <c r="C578" s="26"/>
      <c r="D578" s="27"/>
      <c r="E578" s="26"/>
      <c r="F578" s="26"/>
      <c r="G578" s="28"/>
      <c r="H578" s="26"/>
      <c r="I578" s="26"/>
      <c r="J578" s="26"/>
      <c r="K578" s="34"/>
      <c r="L578" s="28"/>
      <c r="M578" s="28"/>
      <c r="N578" s="26"/>
    </row>
    <row r="579" spans="1:14">
      <c r="A579" s="26"/>
      <c r="B579" s="27"/>
      <c r="C579" s="26"/>
      <c r="D579" s="27"/>
      <c r="E579" s="26"/>
      <c r="F579" s="26"/>
      <c r="G579" s="28"/>
      <c r="H579" s="26"/>
      <c r="I579" s="26"/>
      <c r="J579" s="26"/>
      <c r="K579" s="34"/>
      <c r="L579" s="28"/>
      <c r="M579" s="28"/>
      <c r="N579" s="26"/>
    </row>
    <row r="580" spans="1:14">
      <c r="A580" s="26"/>
      <c r="B580" s="27"/>
      <c r="C580" s="26"/>
      <c r="D580" s="27"/>
      <c r="E580" s="26"/>
      <c r="F580" s="26"/>
      <c r="G580" s="28"/>
      <c r="H580" s="26"/>
      <c r="I580" s="26"/>
      <c r="J580" s="26"/>
      <c r="K580" s="34"/>
      <c r="L580" s="28"/>
      <c r="M580" s="28"/>
      <c r="N580" s="26"/>
    </row>
    <row r="581" spans="1:14">
      <c r="A581" s="26"/>
      <c r="B581" s="27"/>
      <c r="C581" s="26"/>
      <c r="D581" s="27"/>
      <c r="E581" s="26"/>
      <c r="F581" s="26"/>
      <c r="G581" s="28"/>
      <c r="H581" s="26"/>
      <c r="I581" s="26"/>
      <c r="J581" s="26"/>
      <c r="K581" s="34"/>
      <c r="L581" s="28"/>
      <c r="M581" s="28"/>
      <c r="N581" s="26"/>
    </row>
    <row r="582" spans="1:14">
      <c r="A582" s="26"/>
      <c r="B582" s="27"/>
      <c r="C582" s="26"/>
      <c r="D582" s="27"/>
      <c r="E582" s="26"/>
      <c r="F582" s="26"/>
      <c r="G582" s="28"/>
      <c r="H582" s="26"/>
      <c r="I582" s="26"/>
      <c r="J582" s="26"/>
      <c r="K582" s="34"/>
      <c r="L582" s="28"/>
      <c r="M582" s="28"/>
      <c r="N582" s="26"/>
    </row>
    <row r="583" spans="1:14">
      <c r="A583" s="26"/>
      <c r="B583" s="27"/>
      <c r="C583" s="26"/>
      <c r="D583" s="27"/>
      <c r="E583" s="26"/>
      <c r="F583" s="26"/>
      <c r="G583" s="28"/>
      <c r="H583" s="26"/>
      <c r="I583" s="26"/>
      <c r="J583" s="26"/>
      <c r="K583" s="34"/>
      <c r="L583" s="28"/>
      <c r="M583" s="28"/>
      <c r="N583" s="26"/>
    </row>
    <row r="584" spans="1:14">
      <c r="A584" s="26"/>
      <c r="B584" s="27"/>
      <c r="C584" s="26"/>
      <c r="D584" s="27"/>
      <c r="E584" s="26"/>
      <c r="F584" s="26"/>
      <c r="G584" s="28"/>
      <c r="H584" s="26"/>
      <c r="I584" s="26"/>
      <c r="J584" s="26"/>
      <c r="K584" s="34"/>
      <c r="L584" s="28"/>
      <c r="M584" s="28"/>
      <c r="N584" s="26"/>
    </row>
    <row r="585" spans="1:14">
      <c r="A585" s="26"/>
      <c r="B585" s="27"/>
      <c r="C585" s="26"/>
      <c r="D585" s="27"/>
      <c r="E585" s="26"/>
      <c r="F585" s="26"/>
      <c r="G585" s="28"/>
      <c r="H585" s="26"/>
      <c r="I585" s="26"/>
      <c r="J585" s="26"/>
      <c r="K585" s="34"/>
      <c r="L585" s="28"/>
      <c r="M585" s="28"/>
      <c r="N585" s="26"/>
    </row>
    <row r="586" spans="1:14">
      <c r="A586" s="26"/>
      <c r="B586" s="27"/>
      <c r="C586" s="26"/>
      <c r="D586" s="27"/>
      <c r="E586" s="26"/>
      <c r="F586" s="26"/>
      <c r="G586" s="28"/>
      <c r="H586" s="26"/>
      <c r="I586" s="26"/>
      <c r="J586" s="26"/>
      <c r="K586" s="34"/>
      <c r="L586" s="28"/>
      <c r="M586" s="28"/>
      <c r="N586" s="26"/>
    </row>
    <row r="587" spans="1:14">
      <c r="A587" s="26"/>
      <c r="B587" s="27"/>
      <c r="C587" s="26"/>
      <c r="D587" s="27"/>
      <c r="E587" s="26"/>
      <c r="F587" s="26"/>
      <c r="G587" s="28"/>
      <c r="H587" s="26"/>
      <c r="I587" s="26"/>
      <c r="J587" s="26"/>
      <c r="K587" s="34"/>
      <c r="L587" s="28"/>
      <c r="M587" s="28"/>
      <c r="N587" s="26"/>
    </row>
    <row r="588" spans="1:14">
      <c r="A588" s="26"/>
      <c r="B588" s="27"/>
      <c r="C588" s="26"/>
      <c r="D588" s="27"/>
      <c r="E588" s="26"/>
      <c r="F588" s="26"/>
      <c r="G588" s="28"/>
      <c r="H588" s="26"/>
      <c r="I588" s="26"/>
      <c r="J588" s="26"/>
      <c r="K588" s="34"/>
      <c r="L588" s="28"/>
      <c r="M588" s="28"/>
      <c r="N588" s="26"/>
    </row>
    <row r="589" spans="1:14">
      <c r="A589" s="26"/>
      <c r="B589" s="27"/>
      <c r="C589" s="26"/>
      <c r="D589" s="27"/>
      <c r="E589" s="26"/>
      <c r="F589" s="26"/>
      <c r="G589" s="28"/>
      <c r="H589" s="26"/>
      <c r="I589" s="26"/>
      <c r="J589" s="26"/>
      <c r="K589" s="34"/>
      <c r="L589" s="28"/>
      <c r="M589" s="28"/>
      <c r="N589" s="26"/>
    </row>
    <row r="590" spans="1:14">
      <c r="A590" s="26"/>
      <c r="B590" s="27"/>
      <c r="C590" s="26"/>
      <c r="D590" s="27"/>
      <c r="E590" s="26"/>
      <c r="F590" s="26"/>
      <c r="G590" s="28"/>
      <c r="H590" s="26"/>
      <c r="I590" s="26"/>
      <c r="J590" s="26"/>
      <c r="K590" s="34"/>
      <c r="L590" s="28"/>
      <c r="M590" s="28"/>
      <c r="N590" s="26"/>
    </row>
    <row r="591" spans="1:14">
      <c r="A591" s="26"/>
      <c r="B591" s="27"/>
      <c r="C591" s="26"/>
      <c r="D591" s="27"/>
      <c r="E591" s="26"/>
      <c r="F591" s="26"/>
      <c r="G591" s="28"/>
      <c r="H591" s="26"/>
      <c r="I591" s="26"/>
      <c r="J591" s="26"/>
      <c r="K591" s="34"/>
      <c r="L591" s="28"/>
      <c r="M591" s="28"/>
      <c r="N591" s="26"/>
    </row>
    <row r="592" spans="1:14">
      <c r="A592" s="26"/>
      <c r="B592" s="27"/>
      <c r="C592" s="26"/>
      <c r="D592" s="27"/>
      <c r="E592" s="26"/>
      <c r="F592" s="26"/>
      <c r="G592" s="28"/>
      <c r="H592" s="26"/>
      <c r="I592" s="26"/>
      <c r="J592" s="26"/>
      <c r="K592" s="34"/>
      <c r="L592" s="28"/>
      <c r="M592" s="28"/>
      <c r="N592" s="26"/>
    </row>
    <row r="593" spans="1:14">
      <c r="A593" s="26"/>
      <c r="B593" s="27"/>
      <c r="C593" s="26"/>
      <c r="D593" s="27"/>
      <c r="E593" s="26"/>
      <c r="F593" s="26"/>
      <c r="G593" s="28"/>
      <c r="H593" s="26"/>
      <c r="I593" s="26"/>
      <c r="J593" s="26"/>
      <c r="K593" s="34"/>
      <c r="L593" s="28"/>
      <c r="M593" s="28"/>
      <c r="N593" s="26"/>
    </row>
    <row r="594" spans="1:14">
      <c r="A594" s="26"/>
      <c r="B594" s="27"/>
      <c r="C594" s="26"/>
      <c r="D594" s="27"/>
      <c r="E594" s="26"/>
      <c r="F594" s="26"/>
      <c r="G594" s="28"/>
      <c r="H594" s="26"/>
      <c r="I594" s="26"/>
      <c r="J594" s="26"/>
      <c r="K594" s="34"/>
      <c r="L594" s="28"/>
      <c r="M594" s="28"/>
      <c r="N594" s="26"/>
    </row>
    <row r="595" spans="1:14">
      <c r="A595" s="26"/>
      <c r="B595" s="27"/>
      <c r="C595" s="26"/>
      <c r="D595" s="27"/>
      <c r="E595" s="26"/>
      <c r="F595" s="26"/>
      <c r="G595" s="28"/>
      <c r="H595" s="26"/>
      <c r="I595" s="26"/>
      <c r="J595" s="26"/>
      <c r="K595" s="34"/>
      <c r="L595" s="28"/>
      <c r="M595" s="28"/>
      <c r="N595" s="26"/>
    </row>
    <row r="596" spans="1:14">
      <c r="A596" s="26"/>
      <c r="B596" s="27"/>
      <c r="C596" s="26"/>
      <c r="D596" s="27"/>
      <c r="E596" s="26"/>
      <c r="F596" s="26"/>
      <c r="G596" s="28"/>
      <c r="H596" s="26"/>
      <c r="I596" s="26"/>
      <c r="J596" s="26"/>
      <c r="K596" s="34"/>
      <c r="L596" s="28"/>
      <c r="M596" s="28"/>
      <c r="N596" s="26"/>
    </row>
    <row r="597" spans="1:14">
      <c r="A597" s="26"/>
      <c r="B597" s="27"/>
      <c r="C597" s="26"/>
      <c r="D597" s="27"/>
      <c r="E597" s="26"/>
      <c r="F597" s="26"/>
      <c r="G597" s="28"/>
      <c r="H597" s="26"/>
      <c r="I597" s="26"/>
      <c r="J597" s="26"/>
      <c r="K597" s="34"/>
      <c r="L597" s="28"/>
      <c r="M597" s="28"/>
      <c r="N597" s="26"/>
    </row>
    <row r="598" spans="1:14">
      <c r="A598" s="26"/>
      <c r="B598" s="27"/>
      <c r="C598" s="26"/>
      <c r="D598" s="27"/>
      <c r="E598" s="26"/>
      <c r="F598" s="26"/>
      <c r="G598" s="28"/>
      <c r="H598" s="26"/>
      <c r="I598" s="26"/>
      <c r="J598" s="26"/>
      <c r="K598" s="34"/>
      <c r="L598" s="28"/>
      <c r="M598" s="28"/>
      <c r="N598" s="26"/>
    </row>
    <row r="599" spans="1:14">
      <c r="A599" s="26"/>
      <c r="B599" s="27"/>
      <c r="C599" s="26"/>
      <c r="D599" s="27"/>
      <c r="E599" s="26"/>
      <c r="F599" s="26"/>
      <c r="G599" s="28"/>
      <c r="H599" s="26"/>
      <c r="I599" s="26"/>
      <c r="J599" s="26"/>
      <c r="K599" s="34"/>
      <c r="L599" s="28"/>
      <c r="M599" s="28"/>
      <c r="N599" s="26"/>
    </row>
    <row r="600" spans="1:14">
      <c r="A600" s="26"/>
      <c r="B600" s="27"/>
      <c r="C600" s="26"/>
      <c r="D600" s="27"/>
      <c r="E600" s="26"/>
      <c r="F600" s="26"/>
      <c r="G600" s="28"/>
      <c r="H600" s="26"/>
      <c r="I600" s="26"/>
      <c r="J600" s="26"/>
      <c r="K600" s="34"/>
      <c r="L600" s="28"/>
      <c r="M600" s="28"/>
      <c r="N600" s="26"/>
    </row>
    <row r="601" spans="1:14">
      <c r="A601" s="26"/>
      <c r="B601" s="27"/>
      <c r="C601" s="26"/>
      <c r="D601" s="27"/>
      <c r="E601" s="26"/>
      <c r="F601" s="26"/>
      <c r="G601" s="28"/>
      <c r="H601" s="26"/>
      <c r="I601" s="26"/>
      <c r="J601" s="26"/>
      <c r="K601" s="34"/>
      <c r="L601" s="28"/>
      <c r="M601" s="28"/>
      <c r="N601" s="26"/>
    </row>
    <row r="602" spans="1:14">
      <c r="A602" s="26"/>
      <c r="B602" s="27"/>
      <c r="C602" s="26"/>
      <c r="D602" s="27"/>
      <c r="E602" s="26"/>
      <c r="F602" s="26"/>
      <c r="G602" s="28"/>
      <c r="H602" s="26"/>
      <c r="I602" s="26"/>
      <c r="J602" s="26"/>
      <c r="K602" s="34"/>
      <c r="L602" s="28"/>
      <c r="M602" s="28"/>
      <c r="N602" s="26"/>
    </row>
    <row r="603" spans="1:14">
      <c r="A603" s="26"/>
      <c r="B603" s="27"/>
      <c r="C603" s="26"/>
      <c r="D603" s="27"/>
      <c r="E603" s="26"/>
      <c r="F603" s="26"/>
      <c r="G603" s="28"/>
      <c r="H603" s="26"/>
      <c r="I603" s="26"/>
      <c r="J603" s="26"/>
      <c r="K603" s="34"/>
      <c r="L603" s="28"/>
      <c r="M603" s="28"/>
      <c r="N603" s="26"/>
    </row>
    <row r="604" spans="1:14">
      <c r="A604" s="26"/>
      <c r="B604" s="27"/>
      <c r="C604" s="26"/>
      <c r="D604" s="27"/>
      <c r="E604" s="26"/>
      <c r="F604" s="26"/>
      <c r="G604" s="28"/>
      <c r="H604" s="26"/>
      <c r="I604" s="26"/>
      <c r="J604" s="26"/>
      <c r="K604" s="34"/>
      <c r="L604" s="28"/>
      <c r="M604" s="28"/>
      <c r="N604" s="26"/>
    </row>
    <row r="605" spans="1:14">
      <c r="A605" s="26"/>
      <c r="B605" s="27"/>
      <c r="C605" s="26"/>
      <c r="D605" s="27"/>
      <c r="E605" s="26"/>
      <c r="F605" s="26"/>
      <c r="G605" s="28"/>
      <c r="H605" s="26"/>
      <c r="I605" s="26"/>
      <c r="J605" s="26"/>
      <c r="K605" s="34"/>
      <c r="L605" s="28"/>
      <c r="M605" s="28"/>
      <c r="N605" s="26"/>
    </row>
    <row r="606" spans="1:14">
      <c r="A606" s="26"/>
      <c r="B606" s="27"/>
      <c r="C606" s="26"/>
      <c r="D606" s="27"/>
      <c r="E606" s="26"/>
      <c r="F606" s="26"/>
      <c r="G606" s="28"/>
      <c r="H606" s="26"/>
      <c r="I606" s="26"/>
      <c r="J606" s="26"/>
      <c r="K606" s="34"/>
      <c r="L606" s="28"/>
      <c r="M606" s="28"/>
      <c r="N606" s="26"/>
    </row>
    <row r="607" spans="1:14">
      <c r="A607" s="26"/>
      <c r="B607" s="27"/>
      <c r="C607" s="26"/>
      <c r="D607" s="27"/>
      <c r="E607" s="26"/>
      <c r="F607" s="26"/>
      <c r="G607" s="28"/>
      <c r="H607" s="26"/>
      <c r="I607" s="26"/>
      <c r="J607" s="26"/>
      <c r="K607" s="34"/>
      <c r="L607" s="28"/>
      <c r="M607" s="28"/>
      <c r="N607" s="26"/>
    </row>
    <row r="608" spans="1:14">
      <c r="A608" s="26"/>
      <c r="B608" s="27"/>
      <c r="C608" s="26"/>
      <c r="D608" s="27"/>
      <c r="E608" s="26"/>
      <c r="F608" s="26"/>
      <c r="G608" s="28"/>
      <c r="H608" s="26"/>
      <c r="I608" s="26"/>
      <c r="J608" s="26"/>
      <c r="K608" s="34"/>
      <c r="L608" s="28"/>
      <c r="M608" s="28"/>
      <c r="N608" s="26"/>
    </row>
    <row r="609" spans="1:14">
      <c r="A609" s="26"/>
      <c r="B609" s="27"/>
      <c r="C609" s="26"/>
      <c r="D609" s="27"/>
      <c r="E609" s="26"/>
      <c r="F609" s="26"/>
      <c r="G609" s="28"/>
      <c r="H609" s="26"/>
      <c r="I609" s="26"/>
      <c r="J609" s="26"/>
      <c r="K609" s="34"/>
      <c r="L609" s="28"/>
      <c r="M609" s="28"/>
      <c r="N609" s="26"/>
    </row>
    <row r="610" spans="1:14">
      <c r="A610" s="26"/>
      <c r="B610" s="27"/>
      <c r="C610" s="26"/>
      <c r="D610" s="27"/>
      <c r="E610" s="26"/>
      <c r="F610" s="26"/>
      <c r="G610" s="28"/>
      <c r="H610" s="26"/>
      <c r="I610" s="26"/>
      <c r="J610" s="26"/>
      <c r="K610" s="34"/>
      <c r="L610" s="28"/>
      <c r="M610" s="28"/>
      <c r="N610" s="26"/>
    </row>
    <row r="611" spans="1:14">
      <c r="A611" s="26"/>
      <c r="B611" s="27"/>
      <c r="C611" s="26"/>
      <c r="D611" s="27"/>
      <c r="E611" s="26"/>
      <c r="F611" s="26"/>
      <c r="G611" s="28"/>
      <c r="H611" s="26"/>
      <c r="I611" s="26"/>
      <c r="J611" s="26"/>
      <c r="K611" s="34"/>
      <c r="L611" s="28"/>
      <c r="M611" s="28"/>
      <c r="N611" s="26"/>
    </row>
    <row r="612" spans="1:14">
      <c r="A612" s="26"/>
      <c r="B612" s="27"/>
      <c r="C612" s="26"/>
      <c r="D612" s="27"/>
      <c r="E612" s="26"/>
      <c r="F612" s="26"/>
      <c r="G612" s="28"/>
      <c r="H612" s="26"/>
      <c r="I612" s="26"/>
      <c r="J612" s="26"/>
      <c r="K612" s="34"/>
      <c r="L612" s="28"/>
      <c r="M612" s="28"/>
      <c r="N612" s="26"/>
    </row>
    <row r="613" spans="1:14">
      <c r="A613" s="26"/>
      <c r="B613" s="27"/>
      <c r="C613" s="26"/>
      <c r="D613" s="27"/>
      <c r="E613" s="26"/>
      <c r="F613" s="26"/>
      <c r="G613" s="28"/>
      <c r="H613" s="26"/>
      <c r="I613" s="26"/>
      <c r="J613" s="26"/>
      <c r="K613" s="34"/>
      <c r="L613" s="28"/>
      <c r="M613" s="28"/>
      <c r="N613" s="26"/>
    </row>
    <row r="614" spans="1:14">
      <c r="A614" s="26"/>
      <c r="B614" s="27"/>
      <c r="C614" s="26"/>
      <c r="D614" s="27"/>
      <c r="E614" s="26"/>
      <c r="F614" s="26"/>
      <c r="G614" s="28"/>
      <c r="H614" s="26"/>
      <c r="I614" s="26"/>
      <c r="J614" s="26"/>
      <c r="K614" s="34"/>
      <c r="L614" s="28"/>
      <c r="M614" s="28"/>
      <c r="N614" s="26"/>
    </row>
    <row r="615" spans="1:14">
      <c r="A615" s="26"/>
      <c r="B615" s="27"/>
      <c r="C615" s="26"/>
      <c r="D615" s="27"/>
      <c r="E615" s="26"/>
      <c r="F615" s="26"/>
      <c r="G615" s="28"/>
      <c r="H615" s="26"/>
      <c r="I615" s="26"/>
      <c r="J615" s="26"/>
      <c r="K615" s="34"/>
      <c r="L615" s="28"/>
      <c r="M615" s="28"/>
      <c r="N615" s="26"/>
    </row>
    <row r="616" spans="1:14">
      <c r="A616" s="26"/>
      <c r="B616" s="27"/>
      <c r="C616" s="26"/>
      <c r="D616" s="27"/>
      <c r="E616" s="26"/>
      <c r="F616" s="26"/>
      <c r="G616" s="28"/>
      <c r="H616" s="26"/>
      <c r="I616" s="26"/>
      <c r="J616" s="26"/>
      <c r="K616" s="34"/>
      <c r="L616" s="28"/>
      <c r="M616" s="28"/>
      <c r="N616" s="26"/>
    </row>
    <row r="617" spans="1:14">
      <c r="A617" s="26"/>
      <c r="B617" s="27"/>
      <c r="C617" s="26"/>
      <c r="D617" s="27"/>
      <c r="E617" s="26"/>
      <c r="F617" s="26"/>
      <c r="G617" s="28"/>
      <c r="H617" s="26"/>
      <c r="I617" s="26"/>
      <c r="J617" s="26"/>
      <c r="K617" s="34"/>
      <c r="L617" s="28"/>
      <c r="M617" s="28"/>
      <c r="N617" s="26"/>
    </row>
    <row r="618" spans="1:14">
      <c r="A618" s="26"/>
      <c r="B618" s="27"/>
      <c r="C618" s="26"/>
      <c r="D618" s="27"/>
      <c r="E618" s="26"/>
      <c r="F618" s="26"/>
      <c r="G618" s="28"/>
      <c r="H618" s="26"/>
      <c r="I618" s="26"/>
      <c r="J618" s="26"/>
      <c r="K618" s="34"/>
      <c r="L618" s="28"/>
      <c r="M618" s="28"/>
      <c r="N618" s="26"/>
    </row>
    <row r="619" spans="1:14">
      <c r="A619" s="26"/>
      <c r="B619" s="27"/>
      <c r="C619" s="26"/>
      <c r="D619" s="27"/>
      <c r="E619" s="26"/>
      <c r="F619" s="26"/>
      <c r="G619" s="28"/>
      <c r="H619" s="26"/>
      <c r="I619" s="26"/>
      <c r="J619" s="26"/>
      <c r="K619" s="34"/>
      <c r="L619" s="28"/>
      <c r="M619" s="28"/>
      <c r="N619" s="26"/>
    </row>
    <row r="620" spans="1:14">
      <c r="A620" s="26"/>
      <c r="B620" s="27"/>
      <c r="C620" s="26"/>
      <c r="D620" s="27"/>
      <c r="E620" s="26"/>
      <c r="F620" s="26"/>
      <c r="G620" s="28"/>
      <c r="H620" s="26"/>
      <c r="I620" s="26"/>
      <c r="J620" s="26"/>
      <c r="K620" s="34"/>
      <c r="L620" s="28"/>
      <c r="M620" s="28"/>
      <c r="N620" s="26"/>
    </row>
    <row r="621" spans="1:14">
      <c r="A621" s="26"/>
      <c r="B621" s="27"/>
      <c r="C621" s="26"/>
      <c r="D621" s="27"/>
      <c r="E621" s="26"/>
      <c r="F621" s="26"/>
      <c r="G621" s="28"/>
      <c r="H621" s="26"/>
      <c r="I621" s="26"/>
      <c r="J621" s="26"/>
      <c r="K621" s="34"/>
      <c r="L621" s="28"/>
      <c r="M621" s="28"/>
      <c r="N621" s="26"/>
    </row>
    <row r="622" spans="1:14">
      <c r="A622" s="26"/>
      <c r="B622" s="27"/>
      <c r="C622" s="26"/>
      <c r="D622" s="27"/>
      <c r="E622" s="26"/>
      <c r="F622" s="26"/>
      <c r="G622" s="28"/>
      <c r="H622" s="26"/>
      <c r="I622" s="26"/>
      <c r="J622" s="26"/>
      <c r="K622" s="34"/>
      <c r="L622" s="28"/>
      <c r="M622" s="28"/>
      <c r="N622" s="26"/>
    </row>
    <row r="623" spans="1:14">
      <c r="A623" s="26"/>
      <c r="B623" s="27"/>
      <c r="C623" s="26"/>
      <c r="D623" s="27"/>
      <c r="E623" s="26"/>
      <c r="F623" s="26"/>
      <c r="G623" s="28"/>
      <c r="H623" s="26"/>
      <c r="I623" s="26"/>
      <c r="J623" s="26"/>
      <c r="K623" s="34"/>
      <c r="L623" s="28"/>
      <c r="M623" s="28"/>
      <c r="N623" s="26"/>
    </row>
    <row r="624" spans="1:14">
      <c r="A624" s="26"/>
      <c r="B624" s="27"/>
      <c r="C624" s="26"/>
      <c r="D624" s="27"/>
      <c r="E624" s="26"/>
      <c r="F624" s="26"/>
      <c r="G624" s="28"/>
      <c r="H624" s="26"/>
      <c r="I624" s="26"/>
      <c r="J624" s="26"/>
      <c r="K624" s="34"/>
      <c r="L624" s="28"/>
      <c r="M624" s="28"/>
      <c r="N624" s="26"/>
    </row>
    <row r="625" spans="1:14">
      <c r="A625" s="26"/>
      <c r="B625" s="27"/>
      <c r="C625" s="26"/>
      <c r="D625" s="27"/>
      <c r="E625" s="26"/>
      <c r="F625" s="26"/>
      <c r="G625" s="28"/>
      <c r="H625" s="26"/>
      <c r="I625" s="26"/>
      <c r="J625" s="26"/>
      <c r="K625" s="34"/>
      <c r="L625" s="28"/>
      <c r="M625" s="28"/>
      <c r="N625" s="26"/>
    </row>
    <row r="626" spans="1:14">
      <c r="A626" s="26"/>
      <c r="B626" s="27"/>
      <c r="C626" s="26"/>
      <c r="D626" s="27"/>
      <c r="E626" s="26"/>
      <c r="F626" s="26"/>
      <c r="G626" s="28"/>
      <c r="H626" s="26"/>
      <c r="I626" s="26"/>
      <c r="J626" s="26"/>
      <c r="K626" s="34"/>
      <c r="L626" s="28"/>
      <c r="M626" s="28"/>
      <c r="N626" s="26"/>
    </row>
    <row r="627" spans="1:14">
      <c r="A627" s="26"/>
      <c r="B627" s="27"/>
      <c r="C627" s="26"/>
      <c r="D627" s="27"/>
      <c r="E627" s="26"/>
      <c r="F627" s="26"/>
      <c r="G627" s="28"/>
      <c r="H627" s="26"/>
      <c r="I627" s="26"/>
      <c r="J627" s="26"/>
      <c r="K627" s="34"/>
      <c r="L627" s="28"/>
      <c r="M627" s="28"/>
      <c r="N627" s="26"/>
    </row>
    <row r="628" spans="1:14">
      <c r="A628" s="26"/>
      <c r="B628" s="27"/>
      <c r="C628" s="26"/>
      <c r="D628" s="27"/>
      <c r="E628" s="26"/>
      <c r="F628" s="26"/>
      <c r="G628" s="28"/>
      <c r="H628" s="26"/>
      <c r="I628" s="26"/>
      <c r="J628" s="26"/>
      <c r="K628" s="34"/>
      <c r="L628" s="28"/>
      <c r="M628" s="28"/>
      <c r="N628" s="26"/>
    </row>
    <row r="629" spans="1:14">
      <c r="A629" s="26"/>
      <c r="B629" s="27"/>
      <c r="C629" s="26"/>
      <c r="D629" s="27"/>
      <c r="E629" s="26"/>
      <c r="F629" s="26"/>
      <c r="G629" s="28"/>
      <c r="H629" s="26"/>
      <c r="I629" s="26"/>
      <c r="J629" s="26"/>
      <c r="K629" s="34"/>
      <c r="L629" s="28"/>
      <c r="M629" s="28"/>
      <c r="N629" s="26"/>
    </row>
    <row r="630" spans="1:14">
      <c r="A630" s="26"/>
      <c r="B630" s="27"/>
      <c r="C630" s="26"/>
      <c r="D630" s="27"/>
      <c r="E630" s="26"/>
      <c r="F630" s="26"/>
      <c r="G630" s="28"/>
      <c r="H630" s="26"/>
      <c r="I630" s="26"/>
      <c r="J630" s="26"/>
      <c r="K630" s="34"/>
      <c r="L630" s="28"/>
      <c r="M630" s="28"/>
      <c r="N630" s="26"/>
    </row>
    <row r="631" spans="1:14">
      <c r="A631" s="26"/>
      <c r="B631" s="27"/>
      <c r="C631" s="26"/>
      <c r="D631" s="27"/>
      <c r="E631" s="26"/>
      <c r="F631" s="26"/>
      <c r="G631" s="28"/>
      <c r="H631" s="26"/>
      <c r="I631" s="26"/>
      <c r="J631" s="26"/>
      <c r="K631" s="34"/>
      <c r="L631" s="28"/>
      <c r="M631" s="28"/>
      <c r="N631" s="26"/>
    </row>
    <row r="632" spans="1:14">
      <c r="A632" s="26"/>
      <c r="B632" s="27"/>
      <c r="C632" s="26"/>
      <c r="D632" s="27"/>
      <c r="E632" s="26"/>
      <c r="F632" s="26"/>
      <c r="G632" s="28"/>
      <c r="H632" s="26"/>
      <c r="I632" s="26"/>
      <c r="J632" s="26"/>
      <c r="K632" s="34"/>
      <c r="L632" s="28"/>
      <c r="M632" s="28"/>
      <c r="N632" s="26"/>
    </row>
    <row r="633" spans="1:14">
      <c r="A633" s="26"/>
      <c r="B633" s="27"/>
      <c r="C633" s="26"/>
      <c r="D633" s="27"/>
      <c r="E633" s="26"/>
      <c r="F633" s="26"/>
      <c r="G633" s="28"/>
      <c r="H633" s="26"/>
      <c r="I633" s="26"/>
      <c r="J633" s="26"/>
      <c r="K633" s="34"/>
      <c r="L633" s="28"/>
      <c r="M633" s="28"/>
      <c r="N633" s="26"/>
    </row>
    <row r="634" spans="1:14">
      <c r="A634" s="26"/>
      <c r="B634" s="27"/>
      <c r="C634" s="26"/>
      <c r="D634" s="27"/>
      <c r="E634" s="26"/>
      <c r="F634" s="26"/>
      <c r="G634" s="28"/>
      <c r="H634" s="26"/>
      <c r="I634" s="26"/>
      <c r="J634" s="26"/>
      <c r="K634" s="34"/>
      <c r="L634" s="28"/>
      <c r="M634" s="28"/>
      <c r="N634" s="26"/>
    </row>
    <row r="635" spans="1:14">
      <c r="A635" s="26"/>
      <c r="B635" s="27"/>
      <c r="C635" s="26"/>
      <c r="D635" s="27"/>
      <c r="E635" s="26"/>
      <c r="F635" s="26"/>
      <c r="G635" s="28"/>
      <c r="H635" s="26"/>
      <c r="I635" s="26"/>
      <c r="J635" s="26"/>
      <c r="K635" s="34"/>
      <c r="L635" s="28"/>
      <c r="M635" s="28"/>
      <c r="N635" s="26"/>
    </row>
    <row r="636" spans="1:14">
      <c r="A636" s="26"/>
      <c r="B636" s="27"/>
      <c r="C636" s="26"/>
      <c r="D636" s="27"/>
      <c r="E636" s="26"/>
      <c r="F636" s="26"/>
      <c r="G636" s="28"/>
      <c r="H636" s="26"/>
      <c r="I636" s="26"/>
      <c r="J636" s="26"/>
      <c r="K636" s="34"/>
      <c r="L636" s="28"/>
      <c r="M636" s="28"/>
      <c r="N636" s="26"/>
    </row>
    <row r="637" spans="1:14">
      <c r="A637" s="26"/>
      <c r="B637" s="27"/>
      <c r="C637" s="26"/>
      <c r="D637" s="27"/>
      <c r="E637" s="26"/>
      <c r="F637" s="26"/>
      <c r="G637" s="28"/>
      <c r="H637" s="26"/>
      <c r="I637" s="26"/>
      <c r="J637" s="26"/>
      <c r="K637" s="34"/>
      <c r="L637" s="28"/>
      <c r="M637" s="28"/>
      <c r="N637" s="26"/>
    </row>
    <row r="638" spans="1:14">
      <c r="A638" s="26"/>
      <c r="B638" s="27"/>
      <c r="C638" s="26"/>
      <c r="D638" s="27"/>
      <c r="E638" s="26"/>
      <c r="F638" s="26"/>
      <c r="G638" s="28"/>
      <c r="H638" s="26"/>
      <c r="I638" s="26"/>
      <c r="J638" s="26"/>
      <c r="K638" s="34"/>
      <c r="L638" s="28"/>
      <c r="M638" s="28"/>
      <c r="N638" s="26"/>
    </row>
    <row r="639" spans="1:14">
      <c r="A639" s="26"/>
      <c r="B639" s="27"/>
      <c r="C639" s="26"/>
      <c r="D639" s="27"/>
      <c r="E639" s="26"/>
      <c r="F639" s="26"/>
      <c r="G639" s="28"/>
      <c r="H639" s="26"/>
      <c r="I639" s="26"/>
      <c r="J639" s="26"/>
      <c r="K639" s="34"/>
      <c r="L639" s="28"/>
      <c r="M639" s="28"/>
      <c r="N639" s="26"/>
    </row>
    <row r="640" spans="1:14">
      <c r="A640" s="26"/>
      <c r="B640" s="27"/>
      <c r="C640" s="26"/>
      <c r="D640" s="27"/>
      <c r="E640" s="26"/>
      <c r="F640" s="26"/>
      <c r="G640" s="28"/>
      <c r="H640" s="26"/>
      <c r="I640" s="26"/>
      <c r="J640" s="26"/>
      <c r="K640" s="34"/>
      <c r="L640" s="28"/>
      <c r="M640" s="28"/>
      <c r="N640" s="26"/>
    </row>
    <row r="641" spans="1:14">
      <c r="A641" s="26"/>
      <c r="B641" s="27"/>
      <c r="C641" s="26"/>
      <c r="D641" s="27"/>
      <c r="E641" s="26"/>
      <c r="F641" s="26"/>
      <c r="G641" s="28"/>
      <c r="H641" s="26"/>
      <c r="I641" s="26"/>
      <c r="J641" s="26"/>
      <c r="K641" s="34"/>
      <c r="L641" s="28"/>
      <c r="M641" s="28"/>
      <c r="N641" s="26"/>
    </row>
    <row r="642" spans="1:14">
      <c r="A642" s="26"/>
      <c r="B642" s="27"/>
      <c r="C642" s="26"/>
      <c r="D642" s="27"/>
      <c r="E642" s="26"/>
      <c r="F642" s="26"/>
      <c r="G642" s="28"/>
      <c r="H642" s="26"/>
      <c r="I642" s="26"/>
      <c r="J642" s="26"/>
      <c r="K642" s="34"/>
      <c r="L642" s="28"/>
      <c r="M642" s="28"/>
      <c r="N642" s="26"/>
    </row>
    <row r="643" spans="1:14">
      <c r="A643" s="26"/>
      <c r="B643" s="27"/>
      <c r="C643" s="26"/>
      <c r="D643" s="27"/>
      <c r="E643" s="26"/>
      <c r="F643" s="26"/>
      <c r="G643" s="28"/>
      <c r="H643" s="26"/>
      <c r="I643" s="26"/>
      <c r="J643" s="26"/>
      <c r="K643" s="34"/>
      <c r="L643" s="28"/>
      <c r="M643" s="28"/>
      <c r="N643" s="26"/>
    </row>
    <row r="644" spans="1:14">
      <c r="A644" s="26"/>
      <c r="B644" s="27"/>
      <c r="C644" s="26"/>
      <c r="D644" s="27"/>
      <c r="E644" s="26"/>
      <c r="F644" s="26"/>
      <c r="G644" s="28"/>
      <c r="H644" s="26"/>
      <c r="I644" s="26"/>
      <c r="J644" s="26"/>
      <c r="K644" s="34"/>
      <c r="L644" s="28"/>
      <c r="M644" s="28"/>
      <c r="N644" s="26"/>
    </row>
    <row r="645" spans="1:14">
      <c r="A645" s="26"/>
      <c r="B645" s="27"/>
      <c r="C645" s="26"/>
      <c r="D645" s="27"/>
      <c r="E645" s="26"/>
      <c r="F645" s="26"/>
      <c r="G645" s="28"/>
      <c r="H645" s="26"/>
      <c r="I645" s="26"/>
      <c r="J645" s="26"/>
      <c r="K645" s="34"/>
      <c r="L645" s="28"/>
      <c r="M645" s="28"/>
      <c r="N645" s="26"/>
    </row>
    <row r="646" spans="1:14">
      <c r="A646" s="26"/>
      <c r="B646" s="27"/>
      <c r="C646" s="26"/>
      <c r="D646" s="27"/>
      <c r="E646" s="26"/>
      <c r="F646" s="26"/>
      <c r="G646" s="28"/>
      <c r="H646" s="26"/>
      <c r="I646" s="26"/>
      <c r="J646" s="26"/>
      <c r="K646" s="34"/>
      <c r="L646" s="28"/>
      <c r="M646" s="28"/>
      <c r="N646" s="26"/>
    </row>
    <row r="647" spans="1:14">
      <c r="A647" s="26"/>
      <c r="B647" s="27"/>
      <c r="C647" s="26"/>
      <c r="D647" s="27"/>
      <c r="E647" s="26"/>
      <c r="F647" s="26"/>
      <c r="G647" s="28"/>
      <c r="H647" s="26"/>
      <c r="I647" s="26"/>
      <c r="J647" s="26"/>
      <c r="K647" s="34"/>
      <c r="L647" s="28"/>
      <c r="M647" s="28"/>
      <c r="N647" s="26"/>
    </row>
    <row r="648" spans="1:14">
      <c r="A648" s="26"/>
      <c r="B648" s="27"/>
      <c r="C648" s="26"/>
      <c r="D648" s="27"/>
      <c r="E648" s="26"/>
      <c r="F648" s="26"/>
      <c r="G648" s="28"/>
      <c r="H648" s="26"/>
      <c r="I648" s="26"/>
      <c r="J648" s="26"/>
      <c r="K648" s="34"/>
      <c r="L648" s="28"/>
      <c r="M648" s="28"/>
      <c r="N648" s="26"/>
    </row>
    <row r="649" spans="1:14">
      <c r="A649" s="26"/>
      <c r="B649" s="27"/>
      <c r="C649" s="26"/>
      <c r="D649" s="27"/>
      <c r="E649" s="26"/>
      <c r="F649" s="26"/>
      <c r="G649" s="28"/>
      <c r="H649" s="26"/>
      <c r="I649" s="26"/>
      <c r="J649" s="26"/>
      <c r="K649" s="34"/>
      <c r="L649" s="28"/>
      <c r="M649" s="28"/>
      <c r="N649" s="26"/>
    </row>
    <row r="650" spans="1:14">
      <c r="A650" s="26"/>
      <c r="B650" s="27"/>
      <c r="C650" s="26"/>
      <c r="D650" s="27"/>
      <c r="E650" s="26"/>
      <c r="F650" s="26"/>
      <c r="G650" s="28"/>
      <c r="H650" s="26"/>
      <c r="I650" s="26"/>
      <c r="J650" s="26"/>
      <c r="K650" s="34"/>
      <c r="L650" s="28"/>
      <c r="M650" s="28"/>
      <c r="N650" s="26"/>
    </row>
    <row r="651" spans="1:14">
      <c r="A651" s="26"/>
      <c r="B651" s="27"/>
      <c r="C651" s="26"/>
      <c r="D651" s="27"/>
      <c r="E651" s="26"/>
      <c r="F651" s="26"/>
      <c r="G651" s="28"/>
      <c r="H651" s="26"/>
      <c r="I651" s="26"/>
      <c r="J651" s="26"/>
      <c r="K651" s="34"/>
      <c r="L651" s="28"/>
      <c r="M651" s="28"/>
      <c r="N651" s="26"/>
    </row>
    <row r="652" spans="1:14">
      <c r="A652" s="26"/>
      <c r="B652" s="27"/>
      <c r="C652" s="26"/>
      <c r="D652" s="27"/>
      <c r="E652" s="26"/>
      <c r="F652" s="26"/>
      <c r="G652" s="28"/>
      <c r="H652" s="26"/>
      <c r="I652" s="26"/>
      <c r="J652" s="26"/>
      <c r="K652" s="34"/>
      <c r="L652" s="28"/>
      <c r="M652" s="28"/>
      <c r="N652" s="26"/>
    </row>
    <row r="653" spans="1:14">
      <c r="A653" s="26"/>
      <c r="B653" s="27"/>
      <c r="C653" s="26"/>
      <c r="D653" s="27"/>
      <c r="E653" s="26"/>
      <c r="F653" s="26"/>
      <c r="G653" s="28"/>
      <c r="H653" s="26"/>
      <c r="I653" s="26"/>
      <c r="J653" s="26"/>
      <c r="K653" s="34"/>
      <c r="L653" s="28"/>
      <c r="M653" s="28"/>
      <c r="N653" s="26"/>
    </row>
    <row r="654" spans="1:14">
      <c r="A654" s="26"/>
      <c r="B654" s="27"/>
      <c r="C654" s="26"/>
      <c r="D654" s="27"/>
      <c r="E654" s="26"/>
      <c r="F654" s="26"/>
      <c r="G654" s="28"/>
      <c r="H654" s="26"/>
      <c r="I654" s="26"/>
      <c r="J654" s="26"/>
      <c r="K654" s="34"/>
      <c r="L654" s="28"/>
      <c r="M654" s="28"/>
      <c r="N654" s="26"/>
    </row>
    <row r="655" spans="1:14">
      <c r="A655" s="26"/>
      <c r="B655" s="27"/>
      <c r="C655" s="26"/>
      <c r="D655" s="27"/>
      <c r="E655" s="26"/>
      <c r="F655" s="26"/>
      <c r="G655" s="28"/>
      <c r="H655" s="26"/>
      <c r="I655" s="26"/>
      <c r="J655" s="26"/>
      <c r="K655" s="34"/>
      <c r="L655" s="28"/>
      <c r="M655" s="28"/>
      <c r="N655" s="26"/>
    </row>
    <row r="656" spans="1:14">
      <c r="A656" s="26"/>
      <c r="B656" s="27"/>
      <c r="C656" s="26"/>
      <c r="D656" s="27"/>
      <c r="E656" s="26"/>
      <c r="F656" s="26"/>
      <c r="G656" s="28"/>
      <c r="H656" s="26"/>
      <c r="I656" s="26"/>
      <c r="J656" s="26"/>
      <c r="K656" s="34"/>
      <c r="L656" s="28"/>
      <c r="M656" s="28"/>
      <c r="N656" s="26"/>
    </row>
    <row r="657" spans="1:14">
      <c r="A657" s="26"/>
      <c r="B657" s="27"/>
      <c r="C657" s="26"/>
      <c r="D657" s="27"/>
      <c r="E657" s="26"/>
      <c r="F657" s="26"/>
      <c r="G657" s="28"/>
      <c r="H657" s="26"/>
      <c r="I657" s="26"/>
      <c r="J657" s="26"/>
      <c r="K657" s="34"/>
      <c r="L657" s="28"/>
      <c r="M657" s="28"/>
      <c r="N657" s="26"/>
    </row>
    <row r="658" spans="1:14">
      <c r="A658" s="26"/>
      <c r="B658" s="27"/>
      <c r="C658" s="26"/>
      <c r="D658" s="27"/>
      <c r="E658" s="26"/>
      <c r="F658" s="26"/>
      <c r="G658" s="28"/>
      <c r="H658" s="26"/>
      <c r="I658" s="26"/>
      <c r="J658" s="26"/>
      <c r="K658" s="34"/>
      <c r="L658" s="28"/>
      <c r="M658" s="28"/>
      <c r="N658" s="26"/>
    </row>
    <row r="659" spans="1:14">
      <c r="A659" s="26"/>
      <c r="B659" s="27"/>
      <c r="C659" s="26"/>
      <c r="D659" s="27"/>
      <c r="E659" s="26"/>
      <c r="F659" s="26"/>
      <c r="G659" s="28"/>
      <c r="H659" s="26"/>
      <c r="I659" s="26"/>
      <c r="J659" s="26"/>
      <c r="K659" s="34"/>
      <c r="L659" s="28"/>
      <c r="M659" s="28"/>
      <c r="N659" s="26"/>
    </row>
    <row r="660" spans="1:14">
      <c r="A660" s="26"/>
      <c r="B660" s="27"/>
      <c r="C660" s="26"/>
      <c r="D660" s="27"/>
      <c r="E660" s="26"/>
      <c r="F660" s="26"/>
      <c r="G660" s="28"/>
      <c r="H660" s="26"/>
      <c r="I660" s="26"/>
      <c r="J660" s="26"/>
      <c r="K660" s="34"/>
      <c r="L660" s="28"/>
      <c r="M660" s="28"/>
      <c r="N660" s="26"/>
    </row>
    <row r="661" spans="1:14">
      <c r="A661" s="26"/>
      <c r="B661" s="27"/>
      <c r="C661" s="26"/>
      <c r="D661" s="27"/>
      <c r="E661" s="26"/>
      <c r="F661" s="26"/>
      <c r="G661" s="28"/>
      <c r="H661" s="26"/>
      <c r="I661" s="26"/>
      <c r="J661" s="26"/>
      <c r="K661" s="34"/>
      <c r="L661" s="28"/>
      <c r="M661" s="28"/>
      <c r="N661" s="26"/>
    </row>
    <row r="662" spans="1:14">
      <c r="A662" s="26"/>
      <c r="B662" s="27"/>
      <c r="C662" s="26"/>
      <c r="D662" s="27"/>
      <c r="E662" s="26"/>
      <c r="F662" s="26"/>
      <c r="G662" s="28"/>
      <c r="H662" s="26"/>
      <c r="I662" s="26"/>
      <c r="J662" s="26"/>
      <c r="K662" s="34"/>
      <c r="L662" s="28"/>
      <c r="M662" s="28"/>
      <c r="N662" s="26"/>
    </row>
    <row r="663" spans="1:14">
      <c r="A663" s="26"/>
      <c r="B663" s="27"/>
      <c r="C663" s="26"/>
      <c r="D663" s="27"/>
      <c r="E663" s="26"/>
      <c r="F663" s="26"/>
      <c r="G663" s="28"/>
      <c r="H663" s="26"/>
      <c r="I663" s="26"/>
      <c r="J663" s="26"/>
      <c r="K663" s="34"/>
      <c r="L663" s="28"/>
      <c r="M663" s="28"/>
      <c r="N663" s="26"/>
    </row>
    <row r="664" spans="1:14">
      <c r="A664" s="26"/>
      <c r="B664" s="27"/>
      <c r="C664" s="26"/>
      <c r="D664" s="27"/>
      <c r="E664" s="26"/>
      <c r="F664" s="26"/>
      <c r="G664" s="28"/>
      <c r="H664" s="26"/>
      <c r="I664" s="26"/>
      <c r="J664" s="26"/>
      <c r="K664" s="34"/>
      <c r="L664" s="28"/>
      <c r="M664" s="28"/>
      <c r="N664" s="26"/>
    </row>
    <row r="665" spans="1:14">
      <c r="A665" s="26"/>
      <c r="B665" s="27"/>
      <c r="C665" s="26"/>
      <c r="D665" s="27"/>
      <c r="E665" s="26"/>
      <c r="F665" s="26"/>
      <c r="G665" s="28"/>
      <c r="H665" s="26"/>
      <c r="I665" s="26"/>
      <c r="J665" s="26"/>
      <c r="K665" s="34"/>
      <c r="L665" s="28"/>
      <c r="M665" s="28"/>
      <c r="N665" s="26"/>
    </row>
    <row r="666" spans="1:14">
      <c r="A666" s="26"/>
      <c r="B666" s="27"/>
      <c r="C666" s="26"/>
      <c r="D666" s="27"/>
      <c r="E666" s="26"/>
      <c r="F666" s="26"/>
      <c r="G666" s="28"/>
      <c r="H666" s="26"/>
      <c r="I666" s="26"/>
      <c r="J666" s="26"/>
      <c r="K666" s="34"/>
      <c r="L666" s="28"/>
      <c r="M666" s="28"/>
      <c r="N666" s="26"/>
    </row>
    <row r="667" spans="1:14">
      <c r="A667" s="26"/>
      <c r="B667" s="27"/>
      <c r="C667" s="26"/>
      <c r="D667" s="27"/>
      <c r="E667" s="26"/>
      <c r="F667" s="26"/>
      <c r="G667" s="28"/>
      <c r="H667" s="26"/>
      <c r="I667" s="26"/>
      <c r="J667" s="26"/>
      <c r="K667" s="34"/>
      <c r="L667" s="28"/>
      <c r="M667" s="28"/>
      <c r="N667" s="26"/>
    </row>
    <row r="668" spans="1:14">
      <c r="A668" s="26"/>
      <c r="B668" s="27"/>
      <c r="C668" s="26"/>
      <c r="D668" s="27"/>
      <c r="E668" s="26"/>
      <c r="F668" s="26"/>
      <c r="G668" s="28"/>
      <c r="H668" s="26"/>
      <c r="I668" s="26"/>
      <c r="J668" s="26"/>
      <c r="K668" s="34"/>
      <c r="L668" s="28"/>
      <c r="M668" s="28"/>
      <c r="N668" s="26"/>
    </row>
    <row r="669" spans="1:14">
      <c r="A669" s="26"/>
      <c r="B669" s="27"/>
      <c r="C669" s="26"/>
      <c r="D669" s="27"/>
      <c r="E669" s="26"/>
      <c r="F669" s="26"/>
      <c r="G669" s="28"/>
      <c r="H669" s="26"/>
      <c r="I669" s="26"/>
      <c r="J669" s="26"/>
      <c r="K669" s="34"/>
      <c r="L669" s="28"/>
      <c r="M669" s="28"/>
      <c r="N669" s="26"/>
    </row>
    <row r="670" spans="1:14">
      <c r="A670" s="26"/>
      <c r="B670" s="27"/>
      <c r="C670" s="26"/>
      <c r="D670" s="27"/>
      <c r="E670" s="26"/>
      <c r="F670" s="26"/>
      <c r="G670" s="28"/>
      <c r="H670" s="26"/>
      <c r="I670" s="26"/>
      <c r="J670" s="26"/>
      <c r="K670" s="34"/>
      <c r="L670" s="28"/>
      <c r="M670" s="28"/>
      <c r="N670" s="26"/>
    </row>
    <row r="671" spans="1:14">
      <c r="A671" s="26"/>
      <c r="B671" s="27"/>
      <c r="C671" s="26"/>
      <c r="D671" s="27"/>
      <c r="E671" s="26"/>
      <c r="F671" s="26"/>
      <c r="G671" s="28"/>
      <c r="H671" s="26"/>
      <c r="I671" s="26"/>
      <c r="J671" s="26"/>
      <c r="K671" s="34"/>
      <c r="L671" s="28"/>
      <c r="M671" s="28"/>
      <c r="N671" s="26"/>
    </row>
    <row r="672" spans="1:14">
      <c r="A672" s="26"/>
      <c r="B672" s="27"/>
      <c r="C672" s="26"/>
      <c r="D672" s="27"/>
      <c r="E672" s="26"/>
      <c r="F672" s="26"/>
      <c r="G672" s="28"/>
      <c r="H672" s="26"/>
      <c r="I672" s="26"/>
      <c r="J672" s="26"/>
      <c r="K672" s="34"/>
      <c r="L672" s="28"/>
      <c r="M672" s="28"/>
      <c r="N672" s="26"/>
    </row>
    <row r="673" spans="1:14">
      <c r="A673" s="26"/>
      <c r="B673" s="27"/>
      <c r="C673" s="26"/>
      <c r="D673" s="27"/>
      <c r="E673" s="26"/>
      <c r="F673" s="26"/>
      <c r="G673" s="28"/>
      <c r="H673" s="26"/>
      <c r="I673" s="26"/>
      <c r="J673" s="26"/>
      <c r="K673" s="34"/>
      <c r="L673" s="28"/>
      <c r="M673" s="28"/>
      <c r="N673" s="26"/>
    </row>
    <row r="674" spans="1:14">
      <c r="A674" s="26"/>
      <c r="B674" s="27"/>
      <c r="C674" s="26"/>
      <c r="D674" s="27"/>
      <c r="E674" s="26"/>
      <c r="F674" s="26"/>
      <c r="G674" s="28"/>
      <c r="H674" s="26"/>
      <c r="I674" s="26"/>
      <c r="J674" s="26"/>
      <c r="K674" s="34"/>
      <c r="L674" s="28"/>
      <c r="M674" s="28"/>
      <c r="N674" s="26"/>
    </row>
    <row r="675" spans="1:14">
      <c r="A675" s="26"/>
      <c r="B675" s="27"/>
      <c r="C675" s="26"/>
      <c r="D675" s="27"/>
      <c r="E675" s="26"/>
      <c r="F675" s="26"/>
      <c r="G675" s="28"/>
      <c r="H675" s="26"/>
      <c r="I675" s="26"/>
      <c r="J675" s="26"/>
      <c r="K675" s="34"/>
      <c r="L675" s="28"/>
      <c r="M675" s="28"/>
      <c r="N675" s="26"/>
    </row>
    <row r="676" spans="1:14">
      <c r="A676" s="26"/>
      <c r="B676" s="27"/>
      <c r="C676" s="26"/>
      <c r="D676" s="27"/>
      <c r="E676" s="26"/>
      <c r="F676" s="26"/>
      <c r="G676" s="28"/>
      <c r="H676" s="26"/>
      <c r="I676" s="26"/>
      <c r="J676" s="26"/>
      <c r="K676" s="34"/>
      <c r="L676" s="28"/>
      <c r="M676" s="28"/>
      <c r="N676" s="26"/>
    </row>
    <row r="677" spans="1:14">
      <c r="A677" s="26"/>
      <c r="B677" s="27"/>
      <c r="C677" s="26"/>
      <c r="D677" s="27"/>
      <c r="E677" s="26"/>
      <c r="F677" s="26"/>
      <c r="G677" s="28"/>
      <c r="H677" s="26"/>
      <c r="I677" s="26"/>
      <c r="J677" s="26"/>
      <c r="K677" s="34"/>
      <c r="L677" s="28"/>
      <c r="M677" s="28"/>
      <c r="N677" s="26"/>
    </row>
    <row r="678" spans="1:14">
      <c r="A678" s="26"/>
      <c r="B678" s="27"/>
      <c r="C678" s="26"/>
      <c r="D678" s="27"/>
      <c r="E678" s="26"/>
      <c r="F678" s="26"/>
      <c r="G678" s="28"/>
      <c r="H678" s="26"/>
      <c r="I678" s="26"/>
      <c r="J678" s="26"/>
      <c r="K678" s="34"/>
      <c r="L678" s="28"/>
      <c r="M678" s="28"/>
      <c r="N678" s="26"/>
    </row>
    <row r="679" spans="1:14">
      <c r="A679" s="26"/>
      <c r="B679" s="27"/>
      <c r="C679" s="26"/>
      <c r="D679" s="27"/>
      <c r="E679" s="26"/>
      <c r="F679" s="26"/>
      <c r="G679" s="28"/>
      <c r="H679" s="26"/>
      <c r="I679" s="26"/>
      <c r="J679" s="26"/>
      <c r="K679" s="34"/>
      <c r="L679" s="28"/>
      <c r="M679" s="28"/>
      <c r="N679" s="26"/>
    </row>
    <row r="680" spans="1:14">
      <c r="A680" s="26"/>
      <c r="B680" s="27"/>
      <c r="C680" s="26"/>
      <c r="D680" s="27"/>
      <c r="E680" s="26"/>
      <c r="F680" s="26"/>
      <c r="G680" s="28"/>
      <c r="H680" s="26"/>
      <c r="I680" s="26"/>
      <c r="J680" s="26"/>
      <c r="K680" s="34"/>
      <c r="L680" s="28"/>
      <c r="M680" s="28"/>
      <c r="N680" s="26"/>
    </row>
    <row r="681" spans="1:14">
      <c r="A681" s="26"/>
      <c r="B681" s="27"/>
      <c r="C681" s="26"/>
      <c r="D681" s="27"/>
      <c r="E681" s="26"/>
      <c r="F681" s="26"/>
      <c r="G681" s="28"/>
      <c r="H681" s="26"/>
      <c r="I681" s="26"/>
      <c r="J681" s="26"/>
      <c r="K681" s="34"/>
      <c r="L681" s="28"/>
      <c r="M681" s="28"/>
      <c r="N681" s="26"/>
    </row>
    <row r="682" spans="1:14">
      <c r="A682" s="26"/>
      <c r="B682" s="27"/>
      <c r="C682" s="26"/>
      <c r="D682" s="27"/>
      <c r="E682" s="26"/>
      <c r="F682" s="26"/>
      <c r="G682" s="28"/>
      <c r="H682" s="26"/>
      <c r="I682" s="26"/>
      <c r="J682" s="26"/>
      <c r="K682" s="34"/>
      <c r="L682" s="28"/>
      <c r="M682" s="28"/>
      <c r="N682" s="26"/>
    </row>
    <row r="683" spans="1:14">
      <c r="A683" s="26"/>
      <c r="B683" s="27"/>
      <c r="C683" s="26"/>
      <c r="D683" s="27"/>
      <c r="E683" s="26"/>
      <c r="F683" s="26"/>
      <c r="G683" s="28"/>
      <c r="H683" s="26"/>
      <c r="I683" s="26"/>
      <c r="J683" s="26"/>
      <c r="K683" s="34"/>
      <c r="L683" s="28"/>
      <c r="M683" s="28"/>
      <c r="N683" s="26"/>
    </row>
    <row r="684" spans="1:14">
      <c r="A684" s="26"/>
      <c r="B684" s="27"/>
      <c r="C684" s="26"/>
      <c r="D684" s="27"/>
      <c r="E684" s="26"/>
      <c r="F684" s="26"/>
      <c r="G684" s="28"/>
      <c r="H684" s="26"/>
      <c r="I684" s="26"/>
      <c r="J684" s="26"/>
      <c r="K684" s="34"/>
      <c r="L684" s="28"/>
      <c r="M684" s="28"/>
      <c r="N684" s="26"/>
    </row>
    <row r="685" spans="1:14">
      <c r="A685" s="26"/>
      <c r="B685" s="27"/>
      <c r="C685" s="26"/>
      <c r="D685" s="27"/>
      <c r="E685" s="26"/>
      <c r="F685" s="26"/>
      <c r="G685" s="28"/>
      <c r="H685" s="26"/>
      <c r="I685" s="26"/>
      <c r="J685" s="26"/>
      <c r="K685" s="34"/>
      <c r="L685" s="28"/>
      <c r="M685" s="28"/>
      <c r="N685" s="26"/>
    </row>
    <row r="686" spans="1:14">
      <c r="A686" s="26"/>
      <c r="B686" s="27"/>
      <c r="C686" s="26"/>
      <c r="D686" s="27"/>
      <c r="E686" s="26"/>
      <c r="F686" s="26"/>
      <c r="G686" s="28"/>
      <c r="H686" s="26"/>
      <c r="I686" s="26"/>
      <c r="J686" s="26"/>
      <c r="K686" s="34"/>
      <c r="L686" s="28"/>
      <c r="M686" s="28"/>
      <c r="N686" s="26"/>
    </row>
    <row r="687" spans="1:14">
      <c r="A687" s="26"/>
      <c r="B687" s="27"/>
      <c r="C687" s="26"/>
      <c r="D687" s="27"/>
      <c r="E687" s="26"/>
      <c r="F687" s="26"/>
      <c r="G687" s="28"/>
      <c r="H687" s="26"/>
      <c r="I687" s="26"/>
      <c r="J687" s="26"/>
      <c r="K687" s="34"/>
      <c r="L687" s="28"/>
      <c r="M687" s="28"/>
      <c r="N687" s="26"/>
    </row>
    <row r="688" spans="1:14">
      <c r="A688" s="26"/>
      <c r="B688" s="27"/>
      <c r="C688" s="26"/>
      <c r="D688" s="27"/>
      <c r="E688" s="26"/>
      <c r="F688" s="26"/>
      <c r="G688" s="28"/>
      <c r="H688" s="26"/>
      <c r="I688" s="26"/>
      <c r="J688" s="26"/>
      <c r="K688" s="34"/>
      <c r="L688" s="28"/>
      <c r="M688" s="28"/>
      <c r="N688" s="26"/>
    </row>
    <row r="689" spans="1:14">
      <c r="A689" s="26"/>
      <c r="B689" s="27"/>
      <c r="C689" s="26"/>
      <c r="D689" s="27"/>
      <c r="E689" s="26"/>
      <c r="F689" s="26"/>
      <c r="G689" s="28"/>
      <c r="H689" s="26"/>
      <c r="I689" s="26"/>
      <c r="J689" s="26"/>
      <c r="K689" s="34"/>
      <c r="L689" s="28"/>
      <c r="M689" s="28"/>
      <c r="N689" s="26"/>
    </row>
    <row r="690" spans="1:14">
      <c r="A690" s="26"/>
      <c r="B690" s="27"/>
      <c r="C690" s="26"/>
      <c r="D690" s="27"/>
      <c r="E690" s="26"/>
      <c r="F690" s="26"/>
      <c r="G690" s="28"/>
      <c r="H690" s="26"/>
      <c r="I690" s="26"/>
      <c r="J690" s="26"/>
      <c r="K690" s="34"/>
      <c r="L690" s="28"/>
      <c r="M690" s="28"/>
      <c r="N690" s="26"/>
    </row>
    <row r="691" spans="1:14">
      <c r="A691" s="26"/>
      <c r="B691" s="27"/>
      <c r="C691" s="26"/>
      <c r="D691" s="27"/>
      <c r="E691" s="26"/>
      <c r="F691" s="26"/>
      <c r="G691" s="28"/>
      <c r="H691" s="26"/>
      <c r="I691" s="26"/>
      <c r="J691" s="26"/>
      <c r="K691" s="34"/>
      <c r="L691" s="28"/>
      <c r="M691" s="28"/>
      <c r="N691" s="26"/>
    </row>
    <row r="692" spans="1:14">
      <c r="A692" s="26"/>
      <c r="B692" s="27"/>
      <c r="C692" s="26"/>
      <c r="D692" s="27"/>
      <c r="E692" s="26"/>
      <c r="F692" s="26"/>
      <c r="G692" s="28"/>
      <c r="H692" s="26"/>
      <c r="I692" s="26"/>
      <c r="J692" s="26"/>
      <c r="K692" s="34"/>
      <c r="L692" s="28"/>
      <c r="M692" s="28"/>
      <c r="N692" s="26"/>
    </row>
    <row r="693" spans="1:14">
      <c r="A693" s="26"/>
      <c r="B693" s="27"/>
      <c r="C693" s="26"/>
      <c r="D693" s="27"/>
      <c r="E693" s="26"/>
      <c r="F693" s="26"/>
      <c r="G693" s="28"/>
      <c r="H693" s="26"/>
      <c r="I693" s="26"/>
      <c r="J693" s="26"/>
      <c r="K693" s="34"/>
      <c r="L693" s="28"/>
      <c r="M693" s="28"/>
      <c r="N693" s="26"/>
    </row>
    <row r="694" spans="1:14">
      <c r="A694" s="26"/>
      <c r="B694" s="27"/>
      <c r="C694" s="26"/>
      <c r="D694" s="27"/>
      <c r="E694" s="26"/>
      <c r="F694" s="26"/>
      <c r="G694" s="28"/>
      <c r="H694" s="26"/>
      <c r="I694" s="26"/>
      <c r="J694" s="26"/>
      <c r="K694" s="34"/>
      <c r="L694" s="28"/>
      <c r="M694" s="28"/>
      <c r="N694" s="26"/>
    </row>
    <row r="695" spans="1:14">
      <c r="A695" s="26"/>
      <c r="B695" s="27"/>
      <c r="C695" s="26"/>
      <c r="D695" s="27"/>
      <c r="E695" s="26"/>
      <c r="F695" s="26"/>
      <c r="G695" s="28"/>
      <c r="H695" s="26"/>
      <c r="I695" s="26"/>
      <c r="J695" s="26"/>
      <c r="K695" s="34"/>
      <c r="L695" s="28"/>
      <c r="M695" s="28"/>
      <c r="N695" s="26"/>
    </row>
    <row r="696" spans="1:14">
      <c r="A696" s="26"/>
      <c r="B696" s="27"/>
      <c r="C696" s="26"/>
      <c r="D696" s="27"/>
      <c r="E696" s="26"/>
      <c r="F696" s="26"/>
      <c r="G696" s="28"/>
      <c r="H696" s="26"/>
      <c r="I696" s="26"/>
      <c r="J696" s="26"/>
      <c r="K696" s="34"/>
      <c r="L696" s="28"/>
      <c r="M696" s="28"/>
      <c r="N696" s="26"/>
    </row>
    <row r="697" spans="1:14">
      <c r="A697" s="26"/>
      <c r="B697" s="27"/>
      <c r="C697" s="26"/>
      <c r="D697" s="27"/>
      <c r="E697" s="26"/>
      <c r="F697" s="26"/>
      <c r="G697" s="28"/>
      <c r="H697" s="26"/>
      <c r="I697" s="26"/>
      <c r="J697" s="26"/>
      <c r="K697" s="34"/>
      <c r="L697" s="28"/>
      <c r="M697" s="28"/>
      <c r="N697" s="26"/>
    </row>
    <row r="698" spans="1:14">
      <c r="A698" s="26"/>
      <c r="B698" s="27"/>
      <c r="C698" s="26"/>
      <c r="D698" s="27"/>
      <c r="E698" s="26"/>
      <c r="F698" s="26"/>
      <c r="G698" s="28"/>
      <c r="H698" s="26"/>
      <c r="I698" s="26"/>
      <c r="J698" s="26"/>
      <c r="K698" s="34"/>
      <c r="L698" s="28"/>
      <c r="M698" s="28"/>
      <c r="N698" s="26"/>
    </row>
    <row r="699" spans="1:14">
      <c r="A699" s="26"/>
      <c r="B699" s="27"/>
      <c r="C699" s="26"/>
      <c r="D699" s="27"/>
      <c r="E699" s="26"/>
      <c r="F699" s="26"/>
      <c r="G699" s="28"/>
      <c r="H699" s="26"/>
      <c r="I699" s="26"/>
      <c r="J699" s="26"/>
      <c r="K699" s="34"/>
      <c r="L699" s="28"/>
      <c r="M699" s="28"/>
      <c r="N699" s="26"/>
    </row>
    <row r="700" spans="1:14">
      <c r="A700" s="26"/>
      <c r="B700" s="27"/>
      <c r="C700" s="26"/>
      <c r="D700" s="27"/>
      <c r="E700" s="26"/>
      <c r="F700" s="26"/>
      <c r="G700" s="28"/>
      <c r="H700" s="26"/>
      <c r="I700" s="26"/>
      <c r="J700" s="26"/>
      <c r="K700" s="34"/>
      <c r="L700" s="28"/>
      <c r="M700" s="28"/>
      <c r="N700" s="26"/>
    </row>
    <row r="701" spans="1:14">
      <c r="A701" s="26"/>
      <c r="B701" s="27"/>
      <c r="C701" s="26"/>
      <c r="D701" s="27"/>
      <c r="E701" s="26"/>
      <c r="F701" s="26"/>
      <c r="G701" s="28"/>
      <c r="H701" s="26"/>
      <c r="I701" s="26"/>
      <c r="J701" s="26"/>
      <c r="K701" s="34"/>
      <c r="L701" s="28"/>
      <c r="M701" s="28"/>
      <c r="N701" s="26"/>
    </row>
    <row r="702" spans="1:14">
      <c r="A702" s="26"/>
      <c r="B702" s="27"/>
      <c r="C702" s="26"/>
      <c r="D702" s="27"/>
      <c r="E702" s="26"/>
      <c r="F702" s="26"/>
      <c r="G702" s="28"/>
      <c r="H702" s="26"/>
      <c r="I702" s="26"/>
      <c r="J702" s="26"/>
      <c r="K702" s="34"/>
      <c r="L702" s="28"/>
      <c r="M702" s="28"/>
      <c r="N702" s="26"/>
    </row>
    <row r="703" spans="1:14">
      <c r="A703" s="26"/>
      <c r="B703" s="27"/>
      <c r="C703" s="26"/>
      <c r="D703" s="27"/>
      <c r="E703" s="26"/>
      <c r="F703" s="26"/>
      <c r="G703" s="28"/>
      <c r="H703" s="26"/>
      <c r="I703" s="26"/>
      <c r="J703" s="26"/>
      <c r="K703" s="34"/>
      <c r="L703" s="28"/>
      <c r="M703" s="28"/>
      <c r="N703" s="26"/>
    </row>
    <row r="704" spans="1:14">
      <c r="A704" s="26"/>
      <c r="B704" s="27"/>
      <c r="C704" s="26"/>
      <c r="D704" s="27"/>
      <c r="E704" s="26"/>
      <c r="F704" s="26"/>
      <c r="G704" s="28"/>
      <c r="H704" s="26"/>
      <c r="I704" s="26"/>
      <c r="J704" s="26"/>
      <c r="K704" s="34"/>
      <c r="L704" s="28"/>
      <c r="M704" s="28"/>
      <c r="N704" s="26"/>
    </row>
    <row r="705" spans="1:14">
      <c r="A705" s="26"/>
      <c r="B705" s="27"/>
      <c r="C705" s="26"/>
      <c r="D705" s="27"/>
      <c r="E705" s="26"/>
      <c r="F705" s="26"/>
      <c r="G705" s="28"/>
      <c r="H705" s="26"/>
      <c r="I705" s="26"/>
      <c r="J705" s="26"/>
      <c r="K705" s="34"/>
      <c r="L705" s="28"/>
      <c r="M705" s="28"/>
      <c r="N705" s="26"/>
    </row>
    <row r="706" spans="1:14">
      <c r="A706" s="26"/>
      <c r="B706" s="27"/>
      <c r="C706" s="26"/>
      <c r="D706" s="27"/>
      <c r="E706" s="26"/>
      <c r="F706" s="26"/>
      <c r="G706" s="28"/>
      <c r="H706" s="26"/>
      <c r="I706" s="26"/>
      <c r="J706" s="26"/>
      <c r="K706" s="34"/>
      <c r="L706" s="28"/>
      <c r="M706" s="28"/>
      <c r="N706" s="26"/>
    </row>
    <row r="707" spans="1:14">
      <c r="A707" s="26"/>
      <c r="B707" s="27"/>
      <c r="C707" s="26"/>
      <c r="D707" s="27"/>
      <c r="E707" s="26"/>
      <c r="F707" s="26"/>
      <c r="G707" s="28"/>
      <c r="H707" s="26"/>
      <c r="I707" s="26"/>
      <c r="J707" s="26"/>
      <c r="K707" s="34"/>
      <c r="L707" s="28"/>
      <c r="M707" s="28"/>
      <c r="N707" s="26"/>
    </row>
    <row r="708" spans="1:14">
      <c r="A708" s="26"/>
      <c r="B708" s="27"/>
      <c r="C708" s="26"/>
      <c r="D708" s="27"/>
      <c r="E708" s="26"/>
      <c r="F708" s="26"/>
      <c r="G708" s="28"/>
      <c r="H708" s="26"/>
      <c r="I708" s="26"/>
      <c r="J708" s="26"/>
      <c r="K708" s="34"/>
      <c r="L708" s="28"/>
      <c r="M708" s="28"/>
      <c r="N708" s="26"/>
    </row>
    <row r="709" spans="1:14">
      <c r="A709" s="26"/>
      <c r="B709" s="27"/>
      <c r="C709" s="26"/>
      <c r="D709" s="27"/>
      <c r="E709" s="26"/>
      <c r="F709" s="26"/>
      <c r="G709" s="28"/>
      <c r="H709" s="26"/>
      <c r="I709" s="26"/>
      <c r="J709" s="26"/>
      <c r="K709" s="34"/>
      <c r="L709" s="28"/>
      <c r="M709" s="28"/>
      <c r="N709" s="26"/>
    </row>
    <row r="710" spans="1:14">
      <c r="A710" s="26"/>
      <c r="B710" s="27"/>
      <c r="C710" s="26"/>
      <c r="D710" s="27"/>
      <c r="E710" s="26"/>
      <c r="F710" s="26"/>
      <c r="G710" s="28"/>
      <c r="H710" s="26"/>
      <c r="I710" s="26"/>
      <c r="J710" s="26"/>
      <c r="K710" s="34"/>
      <c r="L710" s="28"/>
      <c r="M710" s="28"/>
      <c r="N710" s="26"/>
    </row>
    <row r="711" spans="1:14">
      <c r="A711" s="26"/>
      <c r="B711" s="27"/>
      <c r="C711" s="26"/>
      <c r="D711" s="27"/>
      <c r="E711" s="26"/>
      <c r="F711" s="26"/>
      <c r="G711" s="28"/>
      <c r="H711" s="26"/>
      <c r="I711" s="26"/>
      <c r="J711" s="26"/>
      <c r="K711" s="34"/>
      <c r="L711" s="28"/>
      <c r="M711" s="28"/>
      <c r="N711" s="26"/>
    </row>
    <row r="712" spans="1:14">
      <c r="A712" s="26"/>
      <c r="B712" s="27"/>
      <c r="C712" s="26"/>
      <c r="D712" s="27"/>
      <c r="E712" s="26"/>
      <c r="F712" s="26"/>
      <c r="G712" s="28"/>
      <c r="H712" s="26"/>
      <c r="I712" s="26"/>
      <c r="J712" s="26"/>
      <c r="K712" s="34"/>
      <c r="L712" s="28"/>
      <c r="M712" s="28"/>
      <c r="N712" s="26"/>
    </row>
    <row r="713" spans="1:14">
      <c r="A713" s="26"/>
      <c r="B713" s="27"/>
      <c r="C713" s="26"/>
      <c r="D713" s="27"/>
      <c r="E713" s="26"/>
      <c r="F713" s="26"/>
      <c r="G713" s="28"/>
      <c r="H713" s="26"/>
      <c r="I713" s="26"/>
      <c r="J713" s="26"/>
      <c r="K713" s="34"/>
      <c r="L713" s="28"/>
      <c r="M713" s="28"/>
      <c r="N713" s="26"/>
    </row>
    <row r="714" spans="1:14">
      <c r="A714" s="26"/>
      <c r="B714" s="27"/>
      <c r="C714" s="26"/>
      <c r="D714" s="27"/>
      <c r="E714" s="26"/>
      <c r="F714" s="26"/>
      <c r="G714" s="28"/>
      <c r="H714" s="26"/>
      <c r="I714" s="26"/>
      <c r="J714" s="26"/>
      <c r="K714" s="34"/>
      <c r="L714" s="28"/>
      <c r="M714" s="28"/>
      <c r="N714" s="26"/>
    </row>
    <row r="715" spans="1:14">
      <c r="A715" s="26"/>
      <c r="B715" s="27"/>
      <c r="C715" s="26"/>
      <c r="D715" s="27"/>
      <c r="E715" s="26"/>
      <c r="F715" s="26"/>
      <c r="G715" s="28"/>
      <c r="H715" s="26"/>
      <c r="I715" s="26"/>
      <c r="J715" s="26"/>
      <c r="K715" s="34"/>
      <c r="L715" s="28"/>
      <c r="M715" s="28"/>
      <c r="N715" s="26"/>
    </row>
    <row r="716" spans="1:14">
      <c r="A716" s="26"/>
      <c r="B716" s="27"/>
      <c r="C716" s="26"/>
      <c r="D716" s="27"/>
      <c r="E716" s="26"/>
      <c r="F716" s="26"/>
      <c r="G716" s="28"/>
      <c r="H716" s="26"/>
      <c r="I716" s="26"/>
      <c r="J716" s="26"/>
      <c r="K716" s="34"/>
      <c r="L716" s="28"/>
      <c r="M716" s="28"/>
      <c r="N716" s="26"/>
    </row>
    <row r="717" spans="1:14">
      <c r="A717" s="26"/>
      <c r="B717" s="27"/>
      <c r="C717" s="26"/>
      <c r="D717" s="27"/>
      <c r="E717" s="26"/>
      <c r="F717" s="26"/>
      <c r="G717" s="28"/>
      <c r="H717" s="26"/>
      <c r="I717" s="26"/>
      <c r="J717" s="26"/>
      <c r="K717" s="34"/>
      <c r="L717" s="28"/>
      <c r="M717" s="28"/>
      <c r="N717" s="26"/>
    </row>
    <row r="718" spans="1:14">
      <c r="A718" s="26"/>
      <c r="B718" s="27"/>
      <c r="C718" s="26"/>
      <c r="D718" s="27"/>
      <c r="E718" s="26"/>
      <c r="F718" s="26"/>
      <c r="G718" s="28"/>
      <c r="H718" s="26"/>
      <c r="I718" s="26"/>
      <c r="J718" s="26"/>
      <c r="K718" s="34"/>
      <c r="L718" s="28"/>
      <c r="M718" s="28"/>
      <c r="N718" s="26"/>
    </row>
    <row r="719" spans="1:14">
      <c r="A719" s="26"/>
      <c r="B719" s="27"/>
      <c r="C719" s="26"/>
      <c r="D719" s="27"/>
      <c r="E719" s="26"/>
      <c r="F719" s="26"/>
      <c r="G719" s="28"/>
      <c r="H719" s="26"/>
      <c r="I719" s="26"/>
      <c r="J719" s="26"/>
      <c r="K719" s="34"/>
      <c r="L719" s="28"/>
      <c r="M719" s="28"/>
      <c r="N719" s="26"/>
    </row>
    <row r="720" spans="1:14">
      <c r="A720" s="26"/>
      <c r="B720" s="27"/>
      <c r="C720" s="26"/>
      <c r="D720" s="27"/>
      <c r="E720" s="26"/>
      <c r="F720" s="26"/>
      <c r="G720" s="28"/>
      <c r="H720" s="26"/>
      <c r="I720" s="26"/>
      <c r="J720" s="26"/>
      <c r="K720" s="34"/>
      <c r="L720" s="28"/>
      <c r="M720" s="28"/>
      <c r="N720" s="26"/>
    </row>
    <row r="721" spans="1:14">
      <c r="A721" s="26"/>
      <c r="B721" s="27"/>
      <c r="C721" s="26"/>
      <c r="D721" s="27"/>
      <c r="E721" s="26"/>
      <c r="F721" s="26"/>
      <c r="G721" s="28"/>
      <c r="H721" s="26"/>
      <c r="I721" s="26"/>
      <c r="J721" s="26"/>
      <c r="K721" s="34"/>
      <c r="L721" s="28"/>
      <c r="M721" s="28"/>
      <c r="N721" s="26"/>
    </row>
    <row r="722" spans="1:14">
      <c r="A722" s="26"/>
      <c r="B722" s="27"/>
      <c r="C722" s="26"/>
      <c r="D722" s="27"/>
      <c r="E722" s="26"/>
      <c r="F722" s="26"/>
      <c r="G722" s="28"/>
      <c r="H722" s="26"/>
      <c r="I722" s="26"/>
      <c r="J722" s="26"/>
      <c r="K722" s="34"/>
      <c r="L722" s="28"/>
      <c r="M722" s="28"/>
      <c r="N722" s="26"/>
    </row>
    <row r="723" spans="1:14">
      <c r="A723" s="26"/>
      <c r="B723" s="27"/>
      <c r="C723" s="26"/>
      <c r="D723" s="27"/>
      <c r="E723" s="26"/>
      <c r="F723" s="26"/>
      <c r="G723" s="28"/>
      <c r="H723" s="26"/>
      <c r="I723" s="26"/>
      <c r="J723" s="26"/>
      <c r="K723" s="34"/>
      <c r="L723" s="28"/>
      <c r="M723" s="28"/>
      <c r="N723" s="26"/>
    </row>
    <row r="724" spans="1:14">
      <c r="A724" s="26"/>
      <c r="B724" s="27"/>
      <c r="C724" s="26"/>
      <c r="D724" s="27"/>
      <c r="E724" s="26"/>
      <c r="F724" s="26"/>
      <c r="G724" s="28"/>
      <c r="H724" s="26"/>
      <c r="I724" s="26"/>
      <c r="J724" s="26"/>
      <c r="K724" s="34"/>
      <c r="L724" s="28"/>
      <c r="M724" s="28"/>
      <c r="N724" s="26"/>
    </row>
    <row r="725" spans="1:14">
      <c r="A725" s="26"/>
      <c r="B725" s="27"/>
      <c r="C725" s="26"/>
      <c r="D725" s="27"/>
      <c r="E725" s="26"/>
      <c r="F725" s="26"/>
      <c r="G725" s="28"/>
      <c r="H725" s="26"/>
      <c r="I725" s="26"/>
      <c r="J725" s="26"/>
      <c r="K725" s="34"/>
      <c r="L725" s="28"/>
      <c r="M725" s="28"/>
      <c r="N725" s="26"/>
    </row>
    <row r="726" spans="1:14">
      <c r="A726" s="26"/>
      <c r="B726" s="27"/>
      <c r="C726" s="26"/>
      <c r="D726" s="27"/>
      <c r="E726" s="26"/>
      <c r="F726" s="26"/>
      <c r="G726" s="28"/>
      <c r="H726" s="26"/>
      <c r="I726" s="26"/>
      <c r="J726" s="26"/>
      <c r="K726" s="34"/>
      <c r="L726" s="28"/>
      <c r="M726" s="28"/>
      <c r="N726" s="26"/>
    </row>
    <row r="727" spans="1:14">
      <c r="A727" s="26"/>
      <c r="B727" s="27"/>
      <c r="C727" s="26"/>
      <c r="D727" s="27"/>
      <c r="E727" s="26"/>
      <c r="F727" s="26"/>
      <c r="G727" s="28"/>
      <c r="H727" s="26"/>
      <c r="I727" s="26"/>
      <c r="J727" s="26"/>
      <c r="K727" s="34"/>
      <c r="L727" s="28"/>
      <c r="M727" s="28"/>
      <c r="N727" s="26"/>
    </row>
    <row r="728" spans="1:14">
      <c r="A728" s="26"/>
      <c r="B728" s="27"/>
      <c r="C728" s="26"/>
      <c r="D728" s="27"/>
      <c r="E728" s="26"/>
      <c r="F728" s="26"/>
      <c r="G728" s="28"/>
      <c r="H728" s="26"/>
      <c r="I728" s="26"/>
      <c r="J728" s="26"/>
      <c r="K728" s="34"/>
      <c r="L728" s="28"/>
      <c r="M728" s="28"/>
      <c r="N728" s="26"/>
    </row>
    <row r="729" spans="1:14">
      <c r="A729" s="26"/>
      <c r="B729" s="27"/>
      <c r="C729" s="26"/>
      <c r="D729" s="27"/>
      <c r="E729" s="26"/>
      <c r="F729" s="26"/>
      <c r="G729" s="28"/>
      <c r="H729" s="26"/>
      <c r="I729" s="26"/>
      <c r="J729" s="26"/>
      <c r="K729" s="34"/>
      <c r="L729" s="28"/>
      <c r="M729" s="28"/>
      <c r="N729" s="26"/>
    </row>
    <row r="730" spans="1:14">
      <c r="A730" s="26"/>
      <c r="B730" s="27"/>
      <c r="C730" s="26"/>
      <c r="D730" s="27"/>
      <c r="E730" s="26"/>
      <c r="F730" s="26"/>
      <c r="G730" s="28"/>
      <c r="H730" s="26"/>
      <c r="I730" s="26"/>
      <c r="J730" s="26"/>
      <c r="K730" s="34"/>
      <c r="L730" s="28"/>
      <c r="M730" s="28"/>
      <c r="N730" s="26"/>
    </row>
    <row r="731" spans="1:14">
      <c r="A731" s="26"/>
      <c r="B731" s="27"/>
      <c r="C731" s="26"/>
      <c r="D731" s="27"/>
      <c r="E731" s="26"/>
      <c r="F731" s="26"/>
      <c r="G731" s="28"/>
      <c r="H731" s="26"/>
      <c r="I731" s="26"/>
      <c r="J731" s="26"/>
      <c r="K731" s="34"/>
      <c r="L731" s="28"/>
      <c r="M731" s="28"/>
      <c r="N731" s="26"/>
    </row>
    <row r="732" spans="1:14">
      <c r="A732" s="26"/>
      <c r="B732" s="27"/>
      <c r="C732" s="26"/>
      <c r="D732" s="27"/>
      <c r="E732" s="26"/>
      <c r="F732" s="26"/>
      <c r="G732" s="28"/>
      <c r="H732" s="26"/>
      <c r="I732" s="26"/>
      <c r="J732" s="26"/>
      <c r="K732" s="34"/>
      <c r="L732" s="28"/>
      <c r="M732" s="28"/>
      <c r="N732" s="26"/>
    </row>
    <row r="733" spans="1:14">
      <c r="A733" s="26"/>
      <c r="B733" s="27"/>
      <c r="C733" s="26"/>
      <c r="D733" s="27"/>
      <c r="E733" s="26"/>
      <c r="F733" s="26"/>
      <c r="G733" s="28"/>
      <c r="H733" s="26"/>
      <c r="I733" s="26"/>
      <c r="J733" s="26"/>
      <c r="K733" s="34"/>
      <c r="L733" s="28"/>
      <c r="M733" s="28"/>
      <c r="N733" s="26"/>
    </row>
    <row r="734" spans="1:14">
      <c r="A734" s="26"/>
      <c r="B734" s="27"/>
      <c r="C734" s="26"/>
      <c r="D734" s="27"/>
      <c r="E734" s="26"/>
      <c r="F734" s="26"/>
      <c r="G734" s="28"/>
      <c r="H734" s="26"/>
      <c r="I734" s="26"/>
      <c r="J734" s="26"/>
      <c r="K734" s="34"/>
      <c r="L734" s="28"/>
      <c r="M734" s="28"/>
      <c r="N734" s="26"/>
    </row>
    <row r="735" spans="1:14">
      <c r="A735" s="26"/>
      <c r="B735" s="27"/>
      <c r="C735" s="26"/>
      <c r="D735" s="27"/>
      <c r="E735" s="26"/>
      <c r="F735" s="26"/>
      <c r="G735" s="28"/>
      <c r="H735" s="26"/>
      <c r="I735" s="26"/>
      <c r="J735" s="26"/>
      <c r="K735" s="34"/>
      <c r="L735" s="28"/>
      <c r="M735" s="28"/>
      <c r="N735" s="26"/>
    </row>
    <row r="736" spans="1:14">
      <c r="A736" s="26"/>
      <c r="B736" s="27"/>
      <c r="C736" s="26"/>
      <c r="D736" s="27"/>
      <c r="E736" s="26"/>
      <c r="F736" s="26"/>
      <c r="G736" s="28"/>
      <c r="H736" s="26"/>
      <c r="I736" s="26"/>
      <c r="J736" s="26"/>
      <c r="K736" s="34"/>
      <c r="L736" s="28"/>
      <c r="M736" s="28"/>
      <c r="N736" s="26"/>
    </row>
    <row r="737" spans="1:14">
      <c r="A737" s="26"/>
      <c r="B737" s="27"/>
      <c r="C737" s="26"/>
      <c r="D737" s="27"/>
      <c r="E737" s="26"/>
      <c r="F737" s="26"/>
      <c r="G737" s="28"/>
      <c r="H737" s="26"/>
      <c r="I737" s="26"/>
      <c r="J737" s="26"/>
      <c r="K737" s="34"/>
      <c r="L737" s="28"/>
      <c r="M737" s="28"/>
      <c r="N737" s="26"/>
    </row>
    <row r="738" spans="1:14">
      <c r="A738" s="26"/>
      <c r="B738" s="27"/>
      <c r="C738" s="26"/>
      <c r="D738" s="27"/>
      <c r="E738" s="26"/>
      <c r="F738" s="26"/>
      <c r="G738" s="28"/>
      <c r="H738" s="26"/>
      <c r="I738" s="26"/>
      <c r="J738" s="26"/>
      <c r="K738" s="34"/>
      <c r="L738" s="28"/>
      <c r="M738" s="28"/>
      <c r="N738" s="26"/>
    </row>
    <row r="739" spans="1:14">
      <c r="A739" s="26"/>
      <c r="B739" s="27"/>
      <c r="C739" s="26"/>
      <c r="D739" s="27"/>
      <c r="E739" s="26"/>
      <c r="F739" s="26"/>
      <c r="G739" s="28"/>
      <c r="H739" s="26"/>
      <c r="I739" s="26"/>
      <c r="J739" s="26"/>
      <c r="K739" s="34"/>
      <c r="L739" s="28"/>
      <c r="M739" s="28"/>
      <c r="N739" s="26"/>
    </row>
    <row r="740" spans="1:14">
      <c r="A740" s="26"/>
      <c r="B740" s="27"/>
      <c r="C740" s="26"/>
      <c r="D740" s="27"/>
      <c r="E740" s="26"/>
      <c r="F740" s="26"/>
      <c r="G740" s="28"/>
      <c r="H740" s="26"/>
      <c r="I740" s="26"/>
      <c r="J740" s="26"/>
      <c r="K740" s="34"/>
      <c r="L740" s="28"/>
      <c r="M740" s="28"/>
      <c r="N740" s="26"/>
    </row>
    <row r="741" spans="1:14">
      <c r="A741" s="26"/>
      <c r="B741" s="27"/>
      <c r="C741" s="26"/>
      <c r="D741" s="27"/>
      <c r="E741" s="26"/>
      <c r="F741" s="26"/>
      <c r="G741" s="28"/>
      <c r="H741" s="26"/>
      <c r="I741" s="26"/>
      <c r="J741" s="26"/>
      <c r="K741" s="34"/>
      <c r="L741" s="28"/>
      <c r="M741" s="28"/>
      <c r="N741" s="26"/>
    </row>
    <row r="742" spans="1:14">
      <c r="A742" s="26"/>
      <c r="B742" s="27"/>
      <c r="C742" s="26"/>
      <c r="D742" s="27"/>
      <c r="E742" s="26"/>
      <c r="F742" s="26"/>
      <c r="G742" s="28"/>
      <c r="H742" s="26"/>
      <c r="I742" s="26"/>
      <c r="J742" s="26"/>
      <c r="K742" s="34"/>
      <c r="L742" s="28"/>
      <c r="M742" s="28"/>
      <c r="N742" s="26"/>
    </row>
    <row r="743" spans="1:14">
      <c r="A743" s="26"/>
      <c r="B743" s="27"/>
      <c r="C743" s="26"/>
      <c r="D743" s="27"/>
      <c r="E743" s="26"/>
      <c r="F743" s="26"/>
      <c r="G743" s="28"/>
      <c r="H743" s="26"/>
      <c r="I743" s="26"/>
      <c r="J743" s="26"/>
      <c r="K743" s="34"/>
      <c r="L743" s="28"/>
      <c r="M743" s="28"/>
      <c r="N743" s="26"/>
    </row>
    <row r="744" spans="1:14">
      <c r="A744" s="26"/>
      <c r="B744" s="27"/>
      <c r="C744" s="26"/>
      <c r="D744" s="27"/>
      <c r="E744" s="26"/>
      <c r="F744" s="26"/>
      <c r="G744" s="28"/>
      <c r="H744" s="26"/>
      <c r="I744" s="26"/>
      <c r="J744" s="26"/>
      <c r="K744" s="34"/>
      <c r="L744" s="28"/>
      <c r="M744" s="28"/>
      <c r="N744" s="26"/>
    </row>
    <row r="745" spans="1:14">
      <c r="A745" s="26"/>
      <c r="B745" s="27"/>
      <c r="C745" s="26"/>
      <c r="D745" s="27"/>
      <c r="E745" s="26"/>
      <c r="F745" s="26"/>
      <c r="G745" s="28"/>
      <c r="H745" s="26"/>
      <c r="I745" s="26"/>
      <c r="J745" s="26"/>
      <c r="K745" s="34"/>
      <c r="L745" s="28"/>
      <c r="M745" s="28"/>
      <c r="N745" s="26"/>
    </row>
    <row r="746" spans="1:14">
      <c r="A746" s="26"/>
      <c r="B746" s="27"/>
      <c r="C746" s="26"/>
      <c r="D746" s="27"/>
      <c r="E746" s="26"/>
      <c r="F746" s="26"/>
      <c r="G746" s="28"/>
      <c r="H746" s="26"/>
      <c r="I746" s="26"/>
      <c r="J746" s="26"/>
      <c r="K746" s="34"/>
      <c r="L746" s="28"/>
      <c r="M746" s="28"/>
      <c r="N746" s="26"/>
    </row>
    <row r="747" spans="1:14">
      <c r="A747" s="26"/>
      <c r="B747" s="27"/>
      <c r="C747" s="26"/>
      <c r="D747" s="27"/>
      <c r="E747" s="26"/>
      <c r="F747" s="26"/>
      <c r="G747" s="28"/>
      <c r="H747" s="26"/>
      <c r="I747" s="26"/>
      <c r="J747" s="26"/>
      <c r="K747" s="34"/>
      <c r="L747" s="28"/>
      <c r="M747" s="28"/>
      <c r="N747" s="26"/>
    </row>
    <row r="748" spans="1:14">
      <c r="A748" s="26"/>
      <c r="B748" s="27"/>
      <c r="C748" s="26"/>
      <c r="D748" s="27"/>
      <c r="E748" s="26"/>
      <c r="F748" s="26"/>
      <c r="G748" s="28"/>
      <c r="H748" s="26"/>
      <c r="I748" s="26"/>
      <c r="J748" s="26"/>
      <c r="K748" s="34"/>
      <c r="L748" s="28"/>
      <c r="M748" s="28"/>
      <c r="N748" s="26"/>
    </row>
    <row r="749" spans="1:14">
      <c r="A749" s="26"/>
      <c r="B749" s="27"/>
      <c r="C749" s="26"/>
      <c r="D749" s="27"/>
      <c r="E749" s="26"/>
      <c r="F749" s="26"/>
      <c r="G749" s="28"/>
      <c r="H749" s="26"/>
      <c r="I749" s="26"/>
      <c r="J749" s="26"/>
      <c r="K749" s="34"/>
      <c r="L749" s="28"/>
      <c r="M749" s="28"/>
      <c r="N749" s="26"/>
    </row>
    <row r="750" spans="1:14">
      <c r="A750" s="26"/>
      <c r="B750" s="27"/>
      <c r="C750" s="26"/>
      <c r="D750" s="27"/>
      <c r="E750" s="26"/>
      <c r="F750" s="26"/>
      <c r="G750" s="28"/>
      <c r="H750" s="26"/>
      <c r="I750" s="26"/>
      <c r="J750" s="26"/>
      <c r="K750" s="34"/>
      <c r="L750" s="28"/>
      <c r="M750" s="28"/>
      <c r="N750" s="26"/>
    </row>
    <row r="751" spans="1:14">
      <c r="A751" s="26"/>
      <c r="B751" s="27"/>
      <c r="C751" s="26"/>
      <c r="D751" s="27"/>
      <c r="E751" s="26"/>
      <c r="F751" s="26"/>
      <c r="G751" s="28"/>
      <c r="H751" s="26"/>
      <c r="I751" s="26"/>
      <c r="J751" s="26"/>
      <c r="K751" s="34"/>
      <c r="L751" s="28"/>
      <c r="M751" s="28"/>
      <c r="N751" s="26"/>
    </row>
    <row r="752" spans="1:14">
      <c r="A752" s="26"/>
      <c r="B752" s="27"/>
      <c r="C752" s="26"/>
      <c r="D752" s="27"/>
      <c r="E752" s="26"/>
      <c r="F752" s="26"/>
      <c r="G752" s="28"/>
      <c r="H752" s="26"/>
      <c r="I752" s="26"/>
      <c r="J752" s="26"/>
      <c r="K752" s="34"/>
      <c r="L752" s="28"/>
      <c r="M752" s="28"/>
      <c r="N752" s="26"/>
    </row>
    <row r="753" spans="1:14">
      <c r="A753" s="26"/>
      <c r="B753" s="27"/>
      <c r="C753" s="26"/>
      <c r="D753" s="27"/>
      <c r="E753" s="26"/>
      <c r="F753" s="26"/>
      <c r="G753" s="28"/>
      <c r="H753" s="26"/>
      <c r="I753" s="26"/>
      <c r="J753" s="26"/>
      <c r="K753" s="34"/>
      <c r="L753" s="28"/>
      <c r="M753" s="28"/>
      <c r="N753" s="26"/>
    </row>
    <row r="754" spans="1:14">
      <c r="A754" s="26"/>
      <c r="B754" s="27"/>
      <c r="C754" s="26"/>
      <c r="D754" s="27"/>
      <c r="E754" s="26"/>
      <c r="F754" s="26"/>
      <c r="G754" s="28"/>
      <c r="H754" s="26"/>
      <c r="I754" s="26"/>
      <c r="J754" s="26"/>
      <c r="K754" s="34"/>
      <c r="L754" s="28"/>
      <c r="M754" s="28"/>
      <c r="N754" s="26"/>
    </row>
    <row r="755" spans="1:14">
      <c r="A755" s="26"/>
      <c r="B755" s="27"/>
      <c r="C755" s="26"/>
      <c r="D755" s="27"/>
      <c r="E755" s="26"/>
      <c r="F755" s="26"/>
      <c r="G755" s="28"/>
      <c r="H755" s="26"/>
      <c r="I755" s="26"/>
      <c r="J755" s="26"/>
      <c r="K755" s="34"/>
      <c r="L755" s="28"/>
      <c r="M755" s="28"/>
      <c r="N755" s="26"/>
    </row>
    <row r="756" spans="1:14">
      <c r="A756" s="26"/>
      <c r="B756" s="27"/>
      <c r="C756" s="26"/>
      <c r="D756" s="27"/>
      <c r="E756" s="26"/>
      <c r="F756" s="26"/>
      <c r="G756" s="28"/>
      <c r="H756" s="26"/>
      <c r="I756" s="26"/>
      <c r="J756" s="26"/>
      <c r="K756" s="34"/>
      <c r="L756" s="28"/>
      <c r="M756" s="28"/>
      <c r="N756" s="26"/>
    </row>
    <row r="757" spans="1:14">
      <c r="A757" s="26"/>
      <c r="B757" s="27"/>
      <c r="C757" s="26"/>
      <c r="D757" s="27"/>
      <c r="E757" s="26"/>
      <c r="F757" s="26"/>
      <c r="G757" s="28"/>
      <c r="H757" s="26"/>
      <c r="I757" s="26"/>
      <c r="J757" s="26"/>
      <c r="K757" s="34"/>
      <c r="L757" s="28"/>
      <c r="M757" s="28"/>
      <c r="N757" s="26"/>
    </row>
    <row r="758" spans="1:14">
      <c r="A758" s="26"/>
      <c r="B758" s="27"/>
      <c r="C758" s="26"/>
      <c r="D758" s="27"/>
      <c r="E758" s="26"/>
      <c r="F758" s="26"/>
      <c r="G758" s="28"/>
      <c r="H758" s="26"/>
      <c r="I758" s="26"/>
      <c r="J758" s="26"/>
      <c r="K758" s="34"/>
      <c r="L758" s="28"/>
      <c r="M758" s="28"/>
      <c r="N758" s="26"/>
    </row>
    <row r="759" spans="1:14">
      <c r="A759" s="26"/>
      <c r="B759" s="27"/>
      <c r="C759" s="26"/>
      <c r="D759" s="27"/>
      <c r="E759" s="26"/>
      <c r="F759" s="26"/>
      <c r="G759" s="28"/>
      <c r="H759" s="26"/>
      <c r="I759" s="26"/>
      <c r="J759" s="26"/>
      <c r="K759" s="34"/>
      <c r="L759" s="28"/>
      <c r="M759" s="28"/>
      <c r="N759" s="26"/>
    </row>
    <row r="760" spans="1:14">
      <c r="A760" s="26"/>
      <c r="B760" s="27"/>
      <c r="C760" s="26"/>
      <c r="D760" s="27"/>
      <c r="E760" s="26"/>
      <c r="F760" s="26"/>
      <c r="G760" s="28"/>
      <c r="H760" s="26"/>
      <c r="I760" s="26"/>
      <c r="J760" s="26"/>
      <c r="K760" s="34"/>
      <c r="L760" s="28"/>
      <c r="M760" s="28"/>
      <c r="N760" s="26"/>
    </row>
    <row r="761" spans="1:14">
      <c r="A761" s="26"/>
      <c r="B761" s="27"/>
      <c r="C761" s="26"/>
      <c r="D761" s="27"/>
      <c r="E761" s="26"/>
      <c r="F761" s="26"/>
      <c r="G761" s="28"/>
      <c r="H761" s="26"/>
      <c r="I761" s="26"/>
      <c r="J761" s="26"/>
      <c r="K761" s="34"/>
      <c r="L761" s="28"/>
      <c r="M761" s="28"/>
      <c r="N761" s="26"/>
    </row>
    <row r="762" spans="1:14">
      <c r="A762" s="26"/>
      <c r="B762" s="27"/>
      <c r="C762" s="26"/>
      <c r="D762" s="27"/>
      <c r="E762" s="26"/>
      <c r="F762" s="26"/>
      <c r="G762" s="28"/>
      <c r="H762" s="26"/>
      <c r="I762" s="26"/>
      <c r="J762" s="26"/>
      <c r="K762" s="34"/>
      <c r="L762" s="28"/>
      <c r="M762" s="28"/>
      <c r="N762" s="26"/>
    </row>
    <row r="763" spans="1:14">
      <c r="A763" s="26"/>
      <c r="B763" s="27"/>
      <c r="C763" s="26"/>
      <c r="D763" s="27"/>
      <c r="E763" s="26"/>
      <c r="F763" s="26"/>
      <c r="G763" s="28"/>
      <c r="H763" s="26"/>
      <c r="I763" s="26"/>
      <c r="J763" s="26"/>
      <c r="K763" s="34"/>
      <c r="L763" s="28"/>
      <c r="M763" s="28"/>
      <c r="N763" s="26"/>
    </row>
    <row r="764" spans="1:14">
      <c r="A764" s="26"/>
      <c r="B764" s="27"/>
      <c r="C764" s="26"/>
      <c r="D764" s="27"/>
      <c r="E764" s="26"/>
      <c r="F764" s="26"/>
      <c r="G764" s="28"/>
      <c r="H764" s="26"/>
      <c r="I764" s="26"/>
      <c r="J764" s="26"/>
      <c r="K764" s="34"/>
      <c r="L764" s="28"/>
      <c r="M764" s="28"/>
      <c r="N764" s="26"/>
    </row>
    <row r="765" spans="1:14">
      <c r="A765" s="26"/>
      <c r="B765" s="27"/>
      <c r="C765" s="26"/>
      <c r="D765" s="27"/>
      <c r="E765" s="26"/>
      <c r="F765" s="26"/>
      <c r="G765" s="28"/>
      <c r="H765" s="26"/>
      <c r="I765" s="26"/>
      <c r="J765" s="26"/>
      <c r="K765" s="34"/>
      <c r="L765" s="28"/>
      <c r="M765" s="28"/>
      <c r="N765" s="26"/>
    </row>
    <row r="766" spans="1:14">
      <c r="A766" s="26"/>
      <c r="B766" s="27"/>
      <c r="C766" s="26"/>
      <c r="D766" s="27"/>
      <c r="E766" s="26"/>
      <c r="F766" s="26"/>
      <c r="G766" s="28"/>
      <c r="H766" s="26"/>
      <c r="I766" s="26"/>
      <c r="J766" s="26"/>
      <c r="K766" s="34"/>
      <c r="L766" s="28"/>
      <c r="M766" s="28"/>
      <c r="N766" s="26"/>
    </row>
    <row r="767" spans="1:14">
      <c r="A767" s="26"/>
      <c r="B767" s="27"/>
      <c r="C767" s="26"/>
      <c r="D767" s="27"/>
      <c r="E767" s="26"/>
      <c r="F767" s="26"/>
      <c r="G767" s="28"/>
      <c r="H767" s="26"/>
      <c r="I767" s="26"/>
      <c r="J767" s="26"/>
      <c r="K767" s="34"/>
      <c r="L767" s="28"/>
      <c r="M767" s="28"/>
      <c r="N767" s="26"/>
    </row>
    <row r="768" spans="1:14">
      <c r="A768" s="26"/>
      <c r="B768" s="27"/>
      <c r="C768" s="26"/>
      <c r="D768" s="27"/>
      <c r="E768" s="26"/>
      <c r="F768" s="26"/>
      <c r="G768" s="28"/>
      <c r="H768" s="26"/>
      <c r="I768" s="26"/>
      <c r="J768" s="26"/>
      <c r="K768" s="34"/>
      <c r="L768" s="28"/>
      <c r="M768" s="28"/>
      <c r="N768" s="26"/>
    </row>
    <row r="769" spans="1:14">
      <c r="A769" s="26"/>
      <c r="B769" s="27"/>
      <c r="C769" s="26"/>
      <c r="D769" s="27"/>
      <c r="E769" s="26"/>
      <c r="F769" s="26"/>
      <c r="G769" s="28"/>
      <c r="H769" s="26"/>
      <c r="I769" s="26"/>
      <c r="J769" s="26"/>
      <c r="K769" s="34"/>
      <c r="L769" s="28"/>
      <c r="M769" s="28"/>
      <c r="N769" s="26"/>
    </row>
    <row r="770" spans="1:14">
      <c r="A770" s="26"/>
      <c r="B770" s="27"/>
      <c r="C770" s="26"/>
      <c r="D770" s="27"/>
      <c r="E770" s="26"/>
      <c r="F770" s="26"/>
      <c r="G770" s="28"/>
      <c r="H770" s="26"/>
      <c r="I770" s="26"/>
      <c r="J770" s="26"/>
      <c r="K770" s="34"/>
      <c r="L770" s="28"/>
      <c r="M770" s="28"/>
      <c r="N770" s="26"/>
    </row>
    <row r="771" spans="1:14">
      <c r="A771" s="26"/>
      <c r="B771" s="27"/>
      <c r="C771" s="26"/>
      <c r="D771" s="27"/>
      <c r="E771" s="26"/>
      <c r="F771" s="26"/>
      <c r="G771" s="28"/>
      <c r="H771" s="26"/>
      <c r="I771" s="26"/>
      <c r="J771" s="26"/>
      <c r="K771" s="34"/>
      <c r="L771" s="28"/>
      <c r="M771" s="28"/>
      <c r="N771" s="26"/>
    </row>
    <row r="772" spans="1:14">
      <c r="A772" s="26"/>
      <c r="B772" s="27"/>
      <c r="C772" s="26"/>
      <c r="D772" s="27"/>
      <c r="E772" s="26"/>
      <c r="F772" s="26"/>
      <c r="G772" s="28"/>
      <c r="H772" s="26"/>
      <c r="I772" s="26"/>
      <c r="J772" s="26"/>
      <c r="K772" s="34"/>
      <c r="L772" s="28"/>
      <c r="M772" s="28"/>
      <c r="N772" s="26"/>
    </row>
    <row r="773" spans="1:14">
      <c r="A773" s="26"/>
      <c r="B773" s="27"/>
      <c r="C773" s="26"/>
      <c r="D773" s="27"/>
      <c r="E773" s="26"/>
      <c r="F773" s="26"/>
      <c r="G773" s="28"/>
      <c r="H773" s="26"/>
      <c r="I773" s="26"/>
      <c r="J773" s="26"/>
      <c r="K773" s="34"/>
      <c r="L773" s="28"/>
      <c r="M773" s="28"/>
      <c r="N773" s="26"/>
    </row>
    <row r="774" spans="1:14">
      <c r="A774" s="26"/>
      <c r="B774" s="27"/>
      <c r="C774" s="26"/>
      <c r="D774" s="27"/>
      <c r="E774" s="26"/>
      <c r="F774" s="26"/>
      <c r="G774" s="28"/>
      <c r="H774" s="26"/>
      <c r="I774" s="26"/>
      <c r="J774" s="26"/>
      <c r="K774" s="34"/>
      <c r="L774" s="28"/>
      <c r="M774" s="28"/>
      <c r="N774" s="26"/>
    </row>
    <row r="775" spans="1:14">
      <c r="A775" s="26"/>
      <c r="B775" s="27"/>
      <c r="C775" s="26"/>
      <c r="D775" s="27"/>
      <c r="E775" s="26"/>
      <c r="F775" s="26"/>
      <c r="G775" s="28"/>
      <c r="H775" s="26"/>
      <c r="I775" s="26"/>
      <c r="J775" s="26"/>
      <c r="K775" s="34"/>
      <c r="L775" s="28"/>
      <c r="M775" s="28"/>
      <c r="N775" s="26"/>
    </row>
    <row r="776" spans="1:14">
      <c r="A776" s="26"/>
      <c r="B776" s="27"/>
      <c r="C776" s="26"/>
      <c r="D776" s="27"/>
      <c r="E776" s="26"/>
      <c r="F776" s="26"/>
      <c r="G776" s="28"/>
      <c r="H776" s="26"/>
      <c r="I776" s="26"/>
      <c r="J776" s="26"/>
      <c r="K776" s="34"/>
      <c r="L776" s="28"/>
      <c r="M776" s="28"/>
      <c r="N776" s="26"/>
    </row>
    <row r="777" spans="1:14">
      <c r="A777" s="26"/>
      <c r="B777" s="27"/>
      <c r="C777" s="26"/>
      <c r="D777" s="27"/>
      <c r="E777" s="26"/>
      <c r="F777" s="26"/>
      <c r="G777" s="28"/>
      <c r="H777" s="26"/>
      <c r="I777" s="26"/>
      <c r="J777" s="26"/>
      <c r="K777" s="34"/>
      <c r="L777" s="28"/>
      <c r="M777" s="28"/>
      <c r="N777" s="26"/>
    </row>
    <row r="778" spans="1:14">
      <c r="A778" s="26"/>
      <c r="B778" s="27"/>
      <c r="C778" s="26"/>
      <c r="D778" s="27"/>
      <c r="E778" s="26"/>
      <c r="F778" s="26"/>
      <c r="G778" s="28"/>
      <c r="H778" s="26"/>
      <c r="I778" s="26"/>
      <c r="J778" s="26"/>
      <c r="K778" s="34"/>
      <c r="L778" s="28"/>
      <c r="M778" s="28"/>
      <c r="N778" s="26"/>
    </row>
    <row r="779" spans="1:14">
      <c r="A779" s="26"/>
      <c r="B779" s="27"/>
      <c r="C779" s="26"/>
      <c r="D779" s="27"/>
      <c r="E779" s="26"/>
      <c r="F779" s="26"/>
      <c r="G779" s="28"/>
      <c r="H779" s="26"/>
      <c r="I779" s="26"/>
      <c r="J779" s="26"/>
      <c r="K779" s="34"/>
      <c r="L779" s="28"/>
      <c r="M779" s="28"/>
      <c r="N779" s="26"/>
    </row>
    <row r="780" spans="1:14">
      <c r="A780" s="26"/>
      <c r="B780" s="27"/>
      <c r="C780" s="26"/>
      <c r="D780" s="27"/>
      <c r="E780" s="26"/>
      <c r="F780" s="26"/>
      <c r="G780" s="28"/>
      <c r="H780" s="26"/>
      <c r="I780" s="26"/>
      <c r="J780" s="26"/>
      <c r="K780" s="34"/>
      <c r="L780" s="28"/>
      <c r="M780" s="28"/>
      <c r="N780" s="26"/>
    </row>
    <row r="781" spans="1:14">
      <c r="A781" s="26"/>
      <c r="B781" s="27"/>
      <c r="C781" s="26"/>
      <c r="D781" s="27"/>
      <c r="E781" s="26"/>
      <c r="F781" s="26"/>
      <c r="G781" s="28"/>
      <c r="H781" s="26"/>
      <c r="I781" s="26"/>
      <c r="J781" s="26"/>
      <c r="K781" s="34"/>
      <c r="L781" s="28"/>
      <c r="M781" s="28"/>
      <c r="N781" s="26"/>
    </row>
    <row r="782" spans="1:14">
      <c r="A782" s="26"/>
      <c r="B782" s="27"/>
      <c r="C782" s="26"/>
      <c r="D782" s="27"/>
      <c r="E782" s="26"/>
      <c r="F782" s="26"/>
      <c r="G782" s="28"/>
      <c r="H782" s="26"/>
      <c r="I782" s="26"/>
      <c r="J782" s="26"/>
      <c r="K782" s="34"/>
      <c r="L782" s="28"/>
      <c r="M782" s="28"/>
      <c r="N782" s="26"/>
    </row>
    <row r="783" spans="1:14">
      <c r="A783" s="26"/>
      <c r="B783" s="27"/>
      <c r="C783" s="26"/>
      <c r="D783" s="27"/>
      <c r="E783" s="26"/>
      <c r="F783" s="26"/>
      <c r="G783" s="28"/>
      <c r="H783" s="26"/>
      <c r="I783" s="26"/>
      <c r="J783" s="26"/>
      <c r="K783" s="34"/>
      <c r="L783" s="28"/>
      <c r="M783" s="28"/>
      <c r="N783" s="26"/>
    </row>
    <row r="784" spans="1:14">
      <c r="A784" s="26"/>
      <c r="B784" s="27"/>
      <c r="C784" s="26"/>
      <c r="D784" s="27"/>
      <c r="E784" s="26"/>
      <c r="F784" s="26"/>
      <c r="G784" s="28"/>
      <c r="H784" s="26"/>
      <c r="I784" s="26"/>
      <c r="J784" s="26"/>
      <c r="K784" s="34"/>
      <c r="L784" s="28"/>
      <c r="M784" s="28"/>
      <c r="N784" s="26"/>
    </row>
    <row r="785" spans="1:14">
      <c r="A785" s="26"/>
      <c r="B785" s="27"/>
      <c r="C785" s="26"/>
      <c r="D785" s="27"/>
      <c r="E785" s="26"/>
      <c r="F785" s="26"/>
      <c r="G785" s="28"/>
      <c r="H785" s="26"/>
      <c r="I785" s="26"/>
      <c r="J785" s="26"/>
      <c r="K785" s="34"/>
      <c r="L785" s="28"/>
      <c r="M785" s="28"/>
      <c r="N785" s="26"/>
    </row>
    <row r="786" spans="1:14">
      <c r="A786" s="26"/>
      <c r="B786" s="27"/>
      <c r="C786" s="26"/>
      <c r="D786" s="27"/>
      <c r="E786" s="26"/>
      <c r="F786" s="26"/>
      <c r="G786" s="28"/>
      <c r="H786" s="26"/>
      <c r="I786" s="26"/>
      <c r="J786" s="26"/>
      <c r="K786" s="34"/>
      <c r="L786" s="28"/>
      <c r="M786" s="28"/>
      <c r="N786" s="26"/>
    </row>
    <row r="787" spans="1:14">
      <c r="A787" s="26"/>
      <c r="B787" s="27"/>
      <c r="C787" s="26"/>
      <c r="D787" s="27"/>
      <c r="E787" s="26"/>
      <c r="F787" s="26"/>
      <c r="G787" s="28"/>
      <c r="H787" s="26"/>
      <c r="I787" s="26"/>
      <c r="J787" s="26"/>
      <c r="K787" s="34"/>
      <c r="L787" s="28"/>
      <c r="M787" s="28"/>
      <c r="N787" s="26"/>
    </row>
    <row r="788" spans="1:14">
      <c r="A788" s="26"/>
      <c r="B788" s="27"/>
      <c r="C788" s="26"/>
      <c r="D788" s="27"/>
      <c r="E788" s="26"/>
      <c r="F788" s="26"/>
      <c r="G788" s="28"/>
      <c r="H788" s="26"/>
      <c r="I788" s="26"/>
      <c r="J788" s="26"/>
      <c r="K788" s="34"/>
      <c r="L788" s="28"/>
      <c r="M788" s="28"/>
      <c r="N788" s="26"/>
    </row>
    <row r="789" spans="1:14">
      <c r="A789" s="26"/>
      <c r="B789" s="27"/>
      <c r="C789" s="26"/>
      <c r="D789" s="27"/>
      <c r="E789" s="26"/>
      <c r="F789" s="26"/>
      <c r="G789" s="28"/>
      <c r="H789" s="26"/>
      <c r="I789" s="26"/>
      <c r="J789" s="26"/>
      <c r="K789" s="34"/>
      <c r="L789" s="28"/>
      <c r="M789" s="28"/>
      <c r="N789" s="26"/>
    </row>
    <row r="790" spans="1:14">
      <c r="A790" s="26"/>
      <c r="B790" s="27"/>
      <c r="C790" s="26"/>
      <c r="D790" s="27"/>
      <c r="E790" s="26"/>
      <c r="F790" s="26"/>
      <c r="G790" s="28"/>
      <c r="H790" s="26"/>
      <c r="I790" s="26"/>
      <c r="J790" s="26"/>
      <c r="K790" s="34"/>
      <c r="L790" s="28"/>
      <c r="M790" s="28"/>
      <c r="N790" s="26"/>
    </row>
    <row r="791" spans="1:14">
      <c r="A791" s="26"/>
      <c r="B791" s="27"/>
      <c r="C791" s="26"/>
      <c r="D791" s="27"/>
      <c r="E791" s="26"/>
      <c r="F791" s="26"/>
      <c r="G791" s="28"/>
      <c r="H791" s="26"/>
      <c r="I791" s="26"/>
      <c r="J791" s="26"/>
      <c r="K791" s="34"/>
      <c r="L791" s="28"/>
      <c r="M791" s="28"/>
      <c r="N791" s="26"/>
    </row>
    <row r="792" spans="1:14">
      <c r="A792" s="26"/>
      <c r="B792" s="27"/>
      <c r="C792" s="26"/>
      <c r="D792" s="27"/>
      <c r="E792" s="26"/>
      <c r="F792" s="26"/>
      <c r="G792" s="28"/>
      <c r="H792" s="26"/>
      <c r="I792" s="26"/>
      <c r="J792" s="26"/>
      <c r="K792" s="34"/>
      <c r="L792" s="28"/>
      <c r="M792" s="28"/>
      <c r="N792" s="26"/>
    </row>
    <row r="793" spans="1:14">
      <c r="A793" s="26"/>
      <c r="B793" s="27"/>
      <c r="C793" s="26"/>
      <c r="D793" s="27"/>
      <c r="E793" s="26"/>
      <c r="F793" s="26"/>
      <c r="G793" s="28"/>
      <c r="H793" s="26"/>
      <c r="I793" s="26"/>
      <c r="J793" s="26"/>
      <c r="K793" s="34"/>
      <c r="L793" s="28"/>
      <c r="M793" s="28"/>
      <c r="N793" s="26"/>
    </row>
    <row r="794" spans="1:14">
      <c r="A794" s="26"/>
      <c r="B794" s="27"/>
      <c r="C794" s="26"/>
      <c r="D794" s="27"/>
      <c r="E794" s="26"/>
      <c r="F794" s="26"/>
      <c r="G794" s="28"/>
      <c r="H794" s="26"/>
      <c r="I794" s="26"/>
      <c r="J794" s="26"/>
      <c r="K794" s="34"/>
      <c r="L794" s="28"/>
      <c r="M794" s="28"/>
      <c r="N794" s="26"/>
    </row>
    <row r="795" spans="1:14">
      <c r="A795" s="26"/>
      <c r="B795" s="27"/>
      <c r="C795" s="26"/>
      <c r="D795" s="27"/>
      <c r="E795" s="26"/>
      <c r="F795" s="26"/>
      <c r="G795" s="28"/>
      <c r="H795" s="26"/>
      <c r="I795" s="26"/>
      <c r="J795" s="26"/>
      <c r="K795" s="34"/>
      <c r="L795" s="28"/>
      <c r="M795" s="28"/>
      <c r="N795" s="26"/>
    </row>
    <row r="796" spans="1:14">
      <c r="A796" s="26"/>
      <c r="B796" s="27"/>
      <c r="C796" s="26"/>
      <c r="D796" s="27"/>
      <c r="E796" s="26"/>
      <c r="F796" s="26"/>
      <c r="G796" s="28"/>
      <c r="H796" s="26"/>
      <c r="I796" s="26"/>
      <c r="J796" s="26"/>
      <c r="K796" s="34"/>
      <c r="L796" s="28"/>
      <c r="M796" s="28"/>
      <c r="N796" s="26"/>
    </row>
    <row r="797" spans="1:14">
      <c r="A797" s="26"/>
      <c r="B797" s="27"/>
      <c r="C797" s="26"/>
      <c r="D797" s="27"/>
      <c r="E797" s="26"/>
      <c r="F797" s="26"/>
      <c r="G797" s="28"/>
      <c r="H797" s="26"/>
      <c r="I797" s="26"/>
      <c r="J797" s="26"/>
      <c r="K797" s="34"/>
      <c r="L797" s="28"/>
      <c r="M797" s="28"/>
      <c r="N797" s="26"/>
    </row>
    <row r="798" spans="1:14">
      <c r="A798" s="26"/>
      <c r="B798" s="27"/>
      <c r="C798" s="26"/>
      <c r="D798" s="27"/>
      <c r="E798" s="26"/>
      <c r="F798" s="26"/>
      <c r="G798" s="28"/>
      <c r="H798" s="26"/>
      <c r="I798" s="26"/>
      <c r="J798" s="26"/>
      <c r="K798" s="34"/>
      <c r="L798" s="28"/>
      <c r="M798" s="28"/>
      <c r="N798" s="26"/>
    </row>
    <row r="799" spans="1:14">
      <c r="A799" s="26"/>
      <c r="B799" s="27"/>
      <c r="C799" s="26"/>
      <c r="D799" s="27"/>
      <c r="E799" s="26"/>
      <c r="F799" s="26"/>
      <c r="G799" s="28"/>
      <c r="H799" s="26"/>
      <c r="I799" s="26"/>
      <c r="J799" s="26"/>
      <c r="K799" s="34"/>
      <c r="L799" s="28"/>
      <c r="M799" s="28"/>
      <c r="N799" s="26"/>
    </row>
    <row r="800" spans="1:14">
      <c r="A800" s="26"/>
      <c r="B800" s="27"/>
      <c r="C800" s="26"/>
      <c r="D800" s="27"/>
      <c r="E800" s="26"/>
      <c r="F800" s="26"/>
      <c r="G800" s="28"/>
      <c r="H800" s="26"/>
      <c r="I800" s="26"/>
      <c r="J800" s="26"/>
      <c r="K800" s="34"/>
      <c r="L800" s="28"/>
      <c r="M800" s="28"/>
      <c r="N800" s="26"/>
    </row>
    <row r="801" spans="1:14">
      <c r="A801" s="26"/>
      <c r="B801" s="27"/>
      <c r="C801" s="26"/>
      <c r="D801" s="27"/>
      <c r="E801" s="26"/>
      <c r="F801" s="26"/>
      <c r="G801" s="28"/>
      <c r="H801" s="26"/>
      <c r="I801" s="26"/>
      <c r="J801" s="26"/>
      <c r="K801" s="34"/>
      <c r="L801" s="28"/>
      <c r="M801" s="28"/>
      <c r="N801" s="26"/>
    </row>
    <row r="802" spans="1:14">
      <c r="A802" s="26"/>
      <c r="B802" s="27"/>
      <c r="C802" s="26"/>
      <c r="D802" s="27"/>
      <c r="E802" s="26"/>
      <c r="F802" s="26"/>
      <c r="G802" s="28"/>
      <c r="H802" s="26"/>
      <c r="I802" s="26"/>
      <c r="J802" s="26"/>
      <c r="K802" s="34"/>
      <c r="L802" s="28"/>
      <c r="M802" s="28"/>
      <c r="N802" s="26"/>
    </row>
    <row r="803" spans="1:14">
      <c r="A803" s="26"/>
      <c r="B803" s="27"/>
      <c r="C803" s="26"/>
      <c r="D803" s="27"/>
      <c r="E803" s="26"/>
      <c r="F803" s="26"/>
      <c r="G803" s="28"/>
      <c r="H803" s="26"/>
      <c r="I803" s="26"/>
      <c r="J803" s="26"/>
      <c r="K803" s="34"/>
      <c r="L803" s="28"/>
      <c r="M803" s="28"/>
      <c r="N803" s="26"/>
    </row>
    <row r="804" spans="1:14">
      <c r="A804" s="26"/>
      <c r="B804" s="27"/>
      <c r="C804" s="26"/>
      <c r="D804" s="27"/>
      <c r="E804" s="26"/>
      <c r="F804" s="26"/>
      <c r="G804" s="28"/>
      <c r="H804" s="26"/>
      <c r="I804" s="26"/>
      <c r="J804" s="26"/>
      <c r="K804" s="34"/>
      <c r="L804" s="28"/>
      <c r="M804" s="28"/>
      <c r="N804" s="26"/>
    </row>
    <row r="805" spans="1:14">
      <c r="A805" s="26"/>
      <c r="B805" s="27"/>
      <c r="C805" s="26"/>
      <c r="D805" s="27"/>
      <c r="E805" s="26"/>
      <c r="F805" s="26"/>
      <c r="G805" s="28"/>
      <c r="H805" s="26"/>
      <c r="I805" s="26"/>
      <c r="J805" s="26"/>
      <c r="K805" s="34"/>
      <c r="L805" s="28"/>
      <c r="M805" s="28"/>
      <c r="N805" s="26"/>
    </row>
    <row r="806" spans="1:14">
      <c r="A806" s="26"/>
      <c r="B806" s="27"/>
      <c r="C806" s="26"/>
      <c r="D806" s="27"/>
      <c r="E806" s="26"/>
      <c r="F806" s="26"/>
      <c r="G806" s="28"/>
      <c r="H806" s="26"/>
      <c r="I806" s="26"/>
      <c r="J806" s="26"/>
      <c r="K806" s="34"/>
      <c r="L806" s="28"/>
      <c r="M806" s="28"/>
      <c r="N806" s="26"/>
    </row>
    <row r="807" spans="1:14">
      <c r="A807" s="26"/>
      <c r="B807" s="27"/>
      <c r="C807" s="26"/>
      <c r="D807" s="27"/>
      <c r="E807" s="26"/>
      <c r="F807" s="26"/>
      <c r="G807" s="28"/>
      <c r="H807" s="26"/>
      <c r="I807" s="26"/>
      <c r="J807" s="26"/>
      <c r="K807" s="34"/>
      <c r="L807" s="28"/>
      <c r="M807" s="28"/>
      <c r="N807" s="26"/>
    </row>
    <row r="808" spans="1:14">
      <c r="A808" s="26"/>
      <c r="B808" s="27"/>
      <c r="C808" s="26"/>
      <c r="D808" s="27"/>
      <c r="E808" s="26"/>
      <c r="F808" s="26"/>
      <c r="G808" s="28"/>
      <c r="H808" s="26"/>
      <c r="I808" s="26"/>
      <c r="J808" s="26"/>
      <c r="K808" s="34"/>
      <c r="L808" s="28"/>
      <c r="M808" s="28"/>
      <c r="N808" s="26"/>
    </row>
    <row r="809" spans="1:14">
      <c r="A809" s="26"/>
      <c r="B809" s="27"/>
      <c r="C809" s="26"/>
      <c r="D809" s="27"/>
      <c r="E809" s="26"/>
      <c r="F809" s="26"/>
      <c r="G809" s="28"/>
      <c r="H809" s="26"/>
      <c r="I809" s="26"/>
      <c r="J809" s="26"/>
      <c r="K809" s="34"/>
      <c r="L809" s="28"/>
      <c r="M809" s="28"/>
      <c r="N809" s="26"/>
    </row>
    <row r="810" spans="1:14">
      <c r="A810" s="26"/>
      <c r="B810" s="27"/>
      <c r="C810" s="26"/>
      <c r="D810" s="27"/>
      <c r="E810" s="26"/>
      <c r="F810" s="26"/>
      <c r="G810" s="28"/>
      <c r="H810" s="26"/>
      <c r="I810" s="26"/>
      <c r="J810" s="26"/>
      <c r="K810" s="34"/>
      <c r="L810" s="28"/>
      <c r="M810" s="28"/>
      <c r="N810" s="26"/>
    </row>
    <row r="811" spans="1:14">
      <c r="A811" s="26"/>
      <c r="B811" s="27"/>
      <c r="C811" s="26"/>
      <c r="D811" s="27"/>
      <c r="E811" s="26"/>
      <c r="F811" s="26"/>
      <c r="G811" s="28"/>
      <c r="H811" s="26"/>
      <c r="I811" s="26"/>
      <c r="J811" s="26"/>
      <c r="K811" s="34"/>
      <c r="L811" s="28"/>
      <c r="M811" s="28"/>
      <c r="N811" s="26"/>
    </row>
    <row r="812" spans="1:14">
      <c r="A812" s="26"/>
      <c r="B812" s="27"/>
      <c r="C812" s="26"/>
      <c r="D812" s="27"/>
      <c r="E812" s="26"/>
      <c r="F812" s="26"/>
      <c r="G812" s="28"/>
      <c r="H812" s="26"/>
      <c r="I812" s="26"/>
      <c r="J812" s="26"/>
      <c r="K812" s="34"/>
      <c r="L812" s="28"/>
      <c r="M812" s="28"/>
      <c r="N812" s="26"/>
    </row>
    <row r="813" spans="1:14">
      <c r="A813" s="26"/>
      <c r="B813" s="27"/>
      <c r="C813" s="26"/>
      <c r="D813" s="27"/>
      <c r="E813" s="26"/>
      <c r="F813" s="26"/>
      <c r="G813" s="28"/>
      <c r="H813" s="26"/>
      <c r="I813" s="26"/>
      <c r="J813" s="26"/>
      <c r="K813" s="34"/>
      <c r="L813" s="28"/>
      <c r="M813" s="28"/>
      <c r="N813" s="26"/>
    </row>
    <row r="814" spans="1:14">
      <c r="A814" s="26"/>
      <c r="B814" s="27"/>
      <c r="C814" s="26"/>
      <c r="D814" s="27"/>
      <c r="E814" s="26"/>
      <c r="F814" s="26"/>
      <c r="G814" s="28"/>
      <c r="H814" s="26"/>
      <c r="I814" s="26"/>
      <c r="J814" s="26"/>
      <c r="K814" s="34"/>
      <c r="L814" s="28"/>
      <c r="M814" s="28"/>
      <c r="N814" s="26"/>
    </row>
    <row r="815" spans="1:14">
      <c r="A815" s="26"/>
      <c r="B815" s="27"/>
      <c r="C815" s="26"/>
      <c r="D815" s="27"/>
      <c r="E815" s="26"/>
      <c r="F815" s="26"/>
      <c r="G815" s="28"/>
      <c r="H815" s="26"/>
      <c r="I815" s="26"/>
      <c r="J815" s="26"/>
      <c r="K815" s="34"/>
      <c r="L815" s="28"/>
      <c r="M815" s="28"/>
      <c r="N815" s="26"/>
    </row>
    <row r="816" spans="1:14">
      <c r="A816" s="26"/>
      <c r="B816" s="27"/>
      <c r="C816" s="26"/>
      <c r="D816" s="27"/>
      <c r="E816" s="26"/>
      <c r="F816" s="26"/>
      <c r="G816" s="28"/>
      <c r="H816" s="26"/>
      <c r="I816" s="26"/>
      <c r="J816" s="26"/>
      <c r="K816" s="34"/>
      <c r="L816" s="28"/>
      <c r="M816" s="28"/>
      <c r="N816" s="26"/>
    </row>
    <row r="817" spans="1:14">
      <c r="A817" s="26"/>
      <c r="B817" s="27"/>
      <c r="C817" s="26"/>
      <c r="D817" s="27"/>
      <c r="E817" s="26"/>
      <c r="F817" s="26"/>
      <c r="G817" s="28"/>
      <c r="H817" s="26"/>
      <c r="I817" s="26"/>
      <c r="J817" s="26"/>
      <c r="K817" s="34"/>
      <c r="L817" s="28"/>
      <c r="M817" s="28"/>
      <c r="N817" s="26"/>
    </row>
    <row r="818" spans="1:14">
      <c r="A818" s="26"/>
      <c r="B818" s="27"/>
      <c r="C818" s="26"/>
      <c r="D818" s="27"/>
      <c r="E818" s="26"/>
      <c r="F818" s="26"/>
      <c r="G818" s="28"/>
      <c r="H818" s="26"/>
      <c r="I818" s="26"/>
      <c r="J818" s="26"/>
      <c r="K818" s="34"/>
      <c r="L818" s="28"/>
      <c r="M818" s="28"/>
      <c r="N818" s="26"/>
    </row>
    <row r="819" spans="1:14">
      <c r="A819" s="26"/>
      <c r="B819" s="27"/>
      <c r="C819" s="26"/>
      <c r="D819" s="27"/>
      <c r="E819" s="26"/>
      <c r="F819" s="26"/>
      <c r="G819" s="28"/>
      <c r="H819" s="26"/>
      <c r="I819" s="26"/>
      <c r="J819" s="26"/>
      <c r="K819" s="34"/>
      <c r="L819" s="28"/>
      <c r="M819" s="28"/>
      <c r="N819" s="26"/>
    </row>
    <row r="820" spans="1:14">
      <c r="A820" s="26"/>
      <c r="B820" s="27"/>
      <c r="C820" s="26"/>
      <c r="D820" s="27"/>
      <c r="E820" s="26"/>
      <c r="F820" s="26"/>
      <c r="G820" s="28"/>
      <c r="H820" s="26"/>
      <c r="I820" s="26"/>
      <c r="J820" s="26"/>
      <c r="K820" s="34"/>
      <c r="L820" s="28"/>
      <c r="M820" s="28"/>
      <c r="N820" s="26"/>
    </row>
    <row r="821" spans="1:14">
      <c r="A821" s="26"/>
      <c r="B821" s="27"/>
      <c r="C821" s="26"/>
      <c r="D821" s="27"/>
      <c r="E821" s="26"/>
      <c r="F821" s="26"/>
      <c r="G821" s="28"/>
      <c r="H821" s="26"/>
      <c r="I821" s="26"/>
      <c r="J821" s="26"/>
      <c r="K821" s="34"/>
      <c r="L821" s="28"/>
      <c r="M821" s="28"/>
      <c r="N821" s="26"/>
    </row>
    <row r="822" spans="1:14">
      <c r="A822" s="26"/>
      <c r="B822" s="27"/>
      <c r="C822" s="26"/>
      <c r="D822" s="27"/>
      <c r="E822" s="26"/>
      <c r="F822" s="26"/>
      <c r="G822" s="28"/>
      <c r="H822" s="26"/>
      <c r="I822" s="26"/>
      <c r="J822" s="26"/>
      <c r="K822" s="34"/>
      <c r="L822" s="28"/>
      <c r="M822" s="28"/>
      <c r="N822" s="26"/>
    </row>
    <row r="823" spans="1:14">
      <c r="A823" s="26"/>
      <c r="B823" s="27"/>
      <c r="C823" s="26"/>
      <c r="D823" s="27"/>
      <c r="E823" s="26"/>
      <c r="F823" s="26"/>
      <c r="G823" s="28"/>
      <c r="H823" s="26"/>
      <c r="I823" s="26"/>
      <c r="J823" s="26"/>
      <c r="K823" s="34"/>
      <c r="L823" s="28"/>
      <c r="M823" s="28"/>
      <c r="N823" s="26"/>
    </row>
    <row r="824" spans="1:14">
      <c r="A824" s="26"/>
      <c r="B824" s="27"/>
      <c r="C824" s="26"/>
      <c r="D824" s="27"/>
      <c r="E824" s="26"/>
      <c r="F824" s="26"/>
      <c r="G824" s="28"/>
      <c r="H824" s="26"/>
      <c r="I824" s="26"/>
      <c r="J824" s="26"/>
      <c r="K824" s="34"/>
      <c r="L824" s="28"/>
      <c r="M824" s="28"/>
      <c r="N824" s="26"/>
    </row>
    <row r="825" spans="1:14">
      <c r="A825" s="26"/>
      <c r="B825" s="27"/>
      <c r="C825" s="26"/>
      <c r="D825" s="27"/>
      <c r="E825" s="26"/>
      <c r="F825" s="26"/>
      <c r="G825" s="28"/>
      <c r="H825" s="26"/>
      <c r="I825" s="26"/>
      <c r="J825" s="26"/>
      <c r="K825" s="34"/>
      <c r="L825" s="28"/>
      <c r="M825" s="28"/>
      <c r="N825" s="26"/>
    </row>
    <row r="826" spans="1:14">
      <c r="A826" s="26"/>
      <c r="B826" s="27"/>
      <c r="C826" s="26"/>
      <c r="D826" s="27"/>
      <c r="E826" s="26"/>
      <c r="F826" s="26"/>
      <c r="G826" s="28"/>
      <c r="H826" s="26"/>
      <c r="I826" s="26"/>
      <c r="J826" s="26"/>
      <c r="K826" s="34"/>
      <c r="L826" s="28"/>
      <c r="M826" s="28"/>
      <c r="N826" s="26"/>
    </row>
    <row r="827" spans="1:14">
      <c r="A827" s="26"/>
      <c r="B827" s="27"/>
      <c r="C827" s="26"/>
      <c r="D827" s="27"/>
      <c r="E827" s="26"/>
      <c r="F827" s="26"/>
      <c r="G827" s="28"/>
      <c r="H827" s="26"/>
      <c r="I827" s="26"/>
      <c r="J827" s="26"/>
      <c r="K827" s="34"/>
      <c r="L827" s="28"/>
      <c r="M827" s="28"/>
      <c r="N827" s="26"/>
    </row>
    <row r="828" spans="1:14">
      <c r="A828" s="26"/>
      <c r="B828" s="27"/>
      <c r="C828" s="26"/>
      <c r="D828" s="27"/>
      <c r="E828" s="26"/>
      <c r="F828" s="26"/>
      <c r="G828" s="28"/>
      <c r="H828" s="26"/>
      <c r="I828" s="26"/>
      <c r="J828" s="26"/>
      <c r="K828" s="34"/>
      <c r="L828" s="28"/>
      <c r="M828" s="28"/>
      <c r="N828" s="26"/>
    </row>
    <row r="829" spans="1:14">
      <c r="A829" s="26"/>
      <c r="B829" s="27"/>
      <c r="C829" s="26"/>
      <c r="D829" s="27"/>
      <c r="E829" s="26"/>
      <c r="F829" s="26"/>
      <c r="G829" s="28"/>
      <c r="H829" s="26"/>
      <c r="I829" s="26"/>
      <c r="J829" s="26"/>
      <c r="K829" s="34"/>
      <c r="L829" s="28"/>
      <c r="M829" s="28"/>
      <c r="N829" s="26"/>
    </row>
    <row r="830" spans="1:14">
      <c r="A830" s="26"/>
      <c r="B830" s="27"/>
      <c r="C830" s="26"/>
      <c r="D830" s="27"/>
      <c r="E830" s="26"/>
      <c r="F830" s="26"/>
      <c r="G830" s="28"/>
      <c r="H830" s="26"/>
      <c r="I830" s="26"/>
      <c r="J830" s="26"/>
      <c r="K830" s="34"/>
      <c r="L830" s="28"/>
      <c r="M830" s="28"/>
      <c r="N830" s="26"/>
    </row>
    <row r="831" spans="1:14">
      <c r="A831" s="26"/>
      <c r="B831" s="27"/>
      <c r="C831" s="26"/>
      <c r="D831" s="27"/>
      <c r="E831" s="26"/>
      <c r="F831" s="26"/>
      <c r="G831" s="28"/>
      <c r="H831" s="26"/>
      <c r="I831" s="26"/>
      <c r="J831" s="26"/>
      <c r="K831" s="34"/>
      <c r="L831" s="28"/>
      <c r="M831" s="28"/>
      <c r="N831" s="26"/>
    </row>
    <row r="832" spans="1:14">
      <c r="A832" s="26"/>
      <c r="B832" s="27"/>
      <c r="C832" s="26"/>
      <c r="D832" s="27"/>
      <c r="E832" s="26"/>
      <c r="F832" s="26"/>
      <c r="G832" s="28"/>
      <c r="H832" s="26"/>
      <c r="I832" s="26"/>
      <c r="J832" s="26"/>
      <c r="K832" s="34"/>
      <c r="L832" s="28"/>
      <c r="M832" s="28"/>
      <c r="N832" s="26"/>
    </row>
    <row r="833" spans="1:14">
      <c r="A833" s="26"/>
      <c r="B833" s="27"/>
      <c r="C833" s="26"/>
      <c r="D833" s="27"/>
      <c r="E833" s="26"/>
      <c r="F833" s="26"/>
      <c r="G833" s="28"/>
      <c r="H833" s="26"/>
      <c r="I833" s="26"/>
      <c r="J833" s="26"/>
      <c r="K833" s="34"/>
      <c r="L833" s="28"/>
      <c r="M833" s="28"/>
      <c r="N833" s="26"/>
    </row>
    <row r="834" spans="1:14">
      <c r="A834" s="26"/>
      <c r="B834" s="27"/>
      <c r="C834" s="26"/>
      <c r="D834" s="27"/>
      <c r="E834" s="26"/>
      <c r="F834" s="26"/>
      <c r="G834" s="28"/>
      <c r="H834" s="26"/>
      <c r="I834" s="26"/>
      <c r="J834" s="26"/>
      <c r="K834" s="34"/>
      <c r="L834" s="28"/>
      <c r="M834" s="28"/>
      <c r="N834" s="26"/>
    </row>
    <row r="835" spans="1:14">
      <c r="A835" s="26"/>
      <c r="B835" s="27"/>
      <c r="C835" s="26"/>
      <c r="D835" s="27"/>
      <c r="E835" s="26"/>
      <c r="F835" s="26"/>
      <c r="G835" s="28"/>
      <c r="H835" s="26"/>
      <c r="I835" s="26"/>
      <c r="J835" s="26"/>
      <c r="K835" s="34"/>
      <c r="L835" s="28"/>
      <c r="M835" s="28"/>
      <c r="N835" s="26"/>
    </row>
    <row r="836" spans="1:14">
      <c r="A836" s="26"/>
      <c r="B836" s="27"/>
      <c r="C836" s="26"/>
      <c r="D836" s="27"/>
      <c r="E836" s="26"/>
      <c r="F836" s="26"/>
      <c r="G836" s="28"/>
      <c r="H836" s="26"/>
      <c r="I836" s="26"/>
      <c r="J836" s="26"/>
      <c r="K836" s="34"/>
      <c r="L836" s="28"/>
      <c r="M836" s="28"/>
      <c r="N836" s="26"/>
    </row>
    <row r="837" spans="1:14">
      <c r="A837" s="26"/>
      <c r="B837" s="27"/>
      <c r="C837" s="26"/>
      <c r="D837" s="27"/>
      <c r="E837" s="26"/>
      <c r="F837" s="26"/>
      <c r="G837" s="28"/>
      <c r="H837" s="26"/>
      <c r="I837" s="26"/>
      <c r="J837" s="26"/>
      <c r="K837" s="34"/>
      <c r="L837" s="28"/>
      <c r="M837" s="28"/>
      <c r="N837" s="26"/>
    </row>
    <row r="838" spans="1:14">
      <c r="A838" s="26"/>
      <c r="B838" s="27"/>
      <c r="C838" s="26"/>
      <c r="D838" s="27"/>
      <c r="E838" s="26"/>
      <c r="F838" s="26"/>
      <c r="G838" s="28"/>
      <c r="H838" s="26"/>
      <c r="I838" s="26"/>
      <c r="J838" s="26"/>
      <c r="K838" s="34"/>
      <c r="L838" s="28"/>
      <c r="M838" s="28"/>
      <c r="N838" s="26"/>
    </row>
    <row r="839" spans="1:14">
      <c r="A839" s="26"/>
      <c r="B839" s="27"/>
      <c r="C839" s="26"/>
      <c r="D839" s="27"/>
      <c r="E839" s="26"/>
      <c r="F839" s="26"/>
      <c r="G839" s="28"/>
      <c r="H839" s="26"/>
      <c r="I839" s="26"/>
      <c r="J839" s="26"/>
      <c r="K839" s="34"/>
      <c r="L839" s="28"/>
      <c r="M839" s="28"/>
      <c r="N839" s="26"/>
    </row>
    <row r="840" spans="1:14">
      <c r="A840" s="26"/>
      <c r="B840" s="27"/>
      <c r="C840" s="26"/>
      <c r="D840" s="27"/>
      <c r="E840" s="26"/>
      <c r="F840" s="26"/>
      <c r="G840" s="28"/>
      <c r="H840" s="26"/>
      <c r="I840" s="26"/>
      <c r="J840" s="26"/>
      <c r="K840" s="34"/>
      <c r="L840" s="28"/>
      <c r="M840" s="28"/>
      <c r="N840" s="26"/>
    </row>
    <row r="841" spans="1:14">
      <c r="A841" s="26"/>
      <c r="B841" s="27"/>
      <c r="C841" s="26"/>
      <c r="D841" s="27"/>
      <c r="E841" s="26"/>
      <c r="F841" s="26"/>
      <c r="G841" s="28"/>
      <c r="H841" s="26"/>
      <c r="I841" s="26"/>
      <c r="J841" s="26"/>
      <c r="K841" s="34"/>
      <c r="L841" s="28"/>
      <c r="M841" s="28"/>
      <c r="N841" s="26"/>
    </row>
    <row r="842" spans="1:14">
      <c r="A842" s="26"/>
      <c r="B842" s="27"/>
      <c r="C842" s="26"/>
      <c r="D842" s="27"/>
      <c r="E842" s="26"/>
      <c r="F842" s="26"/>
      <c r="G842" s="28"/>
      <c r="H842" s="26"/>
      <c r="I842" s="26"/>
      <c r="J842" s="26"/>
      <c r="K842" s="34"/>
      <c r="L842" s="28"/>
      <c r="M842" s="28"/>
      <c r="N842" s="26"/>
    </row>
    <row r="843" spans="1:14">
      <c r="A843" s="26"/>
      <c r="B843" s="27"/>
      <c r="C843" s="26"/>
      <c r="D843" s="27"/>
      <c r="E843" s="26"/>
      <c r="F843" s="26"/>
      <c r="G843" s="28"/>
      <c r="H843" s="26"/>
      <c r="I843" s="26"/>
      <c r="J843" s="26"/>
      <c r="K843" s="34"/>
      <c r="L843" s="28"/>
      <c r="M843" s="28"/>
      <c r="N843" s="26"/>
    </row>
    <row r="844" spans="1:14">
      <c r="A844" s="26"/>
      <c r="B844" s="27"/>
      <c r="C844" s="26"/>
      <c r="D844" s="27"/>
      <c r="E844" s="26"/>
      <c r="F844" s="26"/>
      <c r="G844" s="28"/>
      <c r="H844" s="26"/>
      <c r="I844" s="26"/>
      <c r="J844" s="26"/>
      <c r="K844" s="34"/>
      <c r="L844" s="28"/>
      <c r="M844" s="28"/>
      <c r="N844" s="26"/>
    </row>
    <row r="845" spans="1:14">
      <c r="A845" s="26"/>
      <c r="B845" s="27"/>
      <c r="C845" s="26"/>
      <c r="D845" s="27"/>
      <c r="E845" s="26"/>
      <c r="F845" s="26"/>
      <c r="G845" s="28"/>
      <c r="H845" s="26"/>
      <c r="I845" s="26"/>
      <c r="J845" s="26"/>
      <c r="K845" s="34"/>
      <c r="L845" s="28"/>
      <c r="M845" s="28"/>
      <c r="N845" s="26"/>
    </row>
    <row r="846" spans="1:14">
      <c r="A846" s="26"/>
      <c r="B846" s="27"/>
      <c r="C846" s="26"/>
      <c r="D846" s="27"/>
      <c r="E846" s="26"/>
      <c r="F846" s="26"/>
      <c r="G846" s="28"/>
      <c r="H846" s="26"/>
      <c r="I846" s="26"/>
      <c r="J846" s="26"/>
      <c r="K846" s="34"/>
      <c r="L846" s="28"/>
      <c r="M846" s="28"/>
      <c r="N846" s="26"/>
    </row>
    <row r="847" spans="1:14">
      <c r="A847" s="26"/>
      <c r="B847" s="27"/>
      <c r="C847" s="26"/>
      <c r="D847" s="27"/>
      <c r="E847" s="26"/>
      <c r="F847" s="26"/>
      <c r="G847" s="28"/>
      <c r="H847" s="26"/>
      <c r="I847" s="26"/>
      <c r="J847" s="26"/>
      <c r="K847" s="34"/>
      <c r="L847" s="28"/>
      <c r="M847" s="28"/>
      <c r="N847" s="26"/>
    </row>
    <row r="848" spans="1:14">
      <c r="A848" s="26"/>
      <c r="B848" s="27"/>
      <c r="C848" s="26"/>
      <c r="D848" s="27"/>
      <c r="E848" s="26"/>
      <c r="F848" s="26"/>
      <c r="G848" s="28"/>
      <c r="H848" s="26"/>
      <c r="I848" s="26"/>
      <c r="J848" s="26"/>
      <c r="K848" s="34"/>
      <c r="L848" s="28"/>
      <c r="M848" s="28"/>
      <c r="N848" s="26"/>
    </row>
    <row r="849" spans="1:14">
      <c r="A849" s="26"/>
      <c r="B849" s="27"/>
      <c r="C849" s="26"/>
      <c r="D849" s="27"/>
      <c r="E849" s="26"/>
      <c r="F849" s="26"/>
      <c r="G849" s="28"/>
      <c r="H849" s="26"/>
      <c r="I849" s="26"/>
      <c r="J849" s="26"/>
      <c r="K849" s="34"/>
      <c r="L849" s="28"/>
      <c r="M849" s="28"/>
      <c r="N849" s="26"/>
    </row>
    <row r="850" spans="1:14">
      <c r="A850" s="26"/>
      <c r="B850" s="27"/>
      <c r="C850" s="26"/>
      <c r="D850" s="27"/>
      <c r="E850" s="26"/>
      <c r="F850" s="26"/>
      <c r="G850" s="28"/>
      <c r="H850" s="26"/>
      <c r="I850" s="26"/>
      <c r="J850" s="26"/>
      <c r="K850" s="34"/>
      <c r="L850" s="28"/>
      <c r="M850" s="28"/>
      <c r="N850" s="26"/>
    </row>
    <row r="851" spans="1:14">
      <c r="A851" s="26"/>
      <c r="B851" s="27"/>
      <c r="C851" s="26"/>
      <c r="D851" s="27"/>
      <c r="E851" s="26"/>
      <c r="F851" s="26"/>
      <c r="G851" s="28"/>
      <c r="H851" s="26"/>
      <c r="I851" s="26"/>
      <c r="J851" s="26"/>
      <c r="K851" s="34"/>
      <c r="L851" s="28"/>
      <c r="M851" s="28"/>
      <c r="N851" s="26"/>
    </row>
    <row r="852" spans="1:14">
      <c r="A852" s="26"/>
      <c r="B852" s="27"/>
      <c r="C852" s="26"/>
      <c r="D852" s="27"/>
      <c r="E852" s="26"/>
      <c r="F852" s="26"/>
      <c r="G852" s="28"/>
      <c r="H852" s="26"/>
      <c r="I852" s="26"/>
      <c r="J852" s="26"/>
      <c r="K852" s="34"/>
      <c r="L852" s="28"/>
      <c r="M852" s="28"/>
      <c r="N852" s="26"/>
    </row>
    <row r="853" spans="1:14">
      <c r="A853" s="26"/>
      <c r="B853" s="27"/>
      <c r="C853" s="26"/>
      <c r="D853" s="27"/>
      <c r="E853" s="26"/>
      <c r="F853" s="26"/>
      <c r="G853" s="28"/>
      <c r="H853" s="26"/>
      <c r="I853" s="26"/>
      <c r="J853" s="26"/>
      <c r="K853" s="34"/>
      <c r="L853" s="28"/>
      <c r="M853" s="28"/>
      <c r="N853" s="26"/>
    </row>
    <row r="854" spans="1:14">
      <c r="A854" s="26"/>
      <c r="B854" s="27"/>
      <c r="C854" s="26"/>
      <c r="D854" s="27"/>
      <c r="E854" s="26"/>
      <c r="F854" s="26"/>
      <c r="G854" s="28"/>
      <c r="H854" s="26"/>
      <c r="I854" s="26"/>
      <c r="J854" s="26"/>
      <c r="K854" s="34"/>
      <c r="L854" s="28"/>
      <c r="M854" s="28"/>
      <c r="N854" s="26"/>
    </row>
    <row r="855" spans="1:14">
      <c r="A855" s="26"/>
      <c r="B855" s="27"/>
      <c r="C855" s="26"/>
      <c r="D855" s="27"/>
      <c r="E855" s="26"/>
      <c r="F855" s="26"/>
      <c r="G855" s="28"/>
      <c r="H855" s="26"/>
      <c r="I855" s="26"/>
      <c r="J855" s="26"/>
      <c r="K855" s="34"/>
      <c r="L855" s="28"/>
      <c r="M855" s="28"/>
      <c r="N855" s="26"/>
    </row>
    <row r="856" spans="1:14">
      <c r="A856" s="26"/>
      <c r="B856" s="27"/>
      <c r="C856" s="26"/>
      <c r="D856" s="27"/>
      <c r="E856" s="26"/>
      <c r="F856" s="26"/>
      <c r="G856" s="28"/>
      <c r="H856" s="26"/>
      <c r="I856" s="26"/>
      <c r="J856" s="26"/>
      <c r="K856" s="34"/>
      <c r="L856" s="28"/>
      <c r="M856" s="28"/>
      <c r="N856" s="26"/>
    </row>
    <row r="857" spans="1:14">
      <c r="A857" s="26"/>
      <c r="B857" s="27"/>
      <c r="C857" s="26"/>
      <c r="D857" s="27"/>
      <c r="E857" s="26"/>
      <c r="F857" s="26"/>
      <c r="G857" s="28"/>
      <c r="H857" s="26"/>
      <c r="I857" s="26"/>
      <c r="J857" s="26"/>
      <c r="K857" s="34"/>
      <c r="L857" s="28"/>
      <c r="M857" s="28"/>
      <c r="N857" s="26"/>
    </row>
    <row r="858" spans="1:14">
      <c r="A858" s="26"/>
      <c r="B858" s="27"/>
      <c r="C858" s="26"/>
      <c r="D858" s="27"/>
      <c r="E858" s="26"/>
      <c r="F858" s="26"/>
      <c r="G858" s="28"/>
      <c r="H858" s="26"/>
      <c r="I858" s="26"/>
      <c r="J858" s="26"/>
      <c r="K858" s="34"/>
      <c r="L858" s="28"/>
      <c r="M858" s="28"/>
      <c r="N858" s="26"/>
    </row>
    <row r="859" spans="1:14">
      <c r="A859" s="26"/>
      <c r="B859" s="27"/>
      <c r="C859" s="26"/>
      <c r="D859" s="27"/>
      <c r="E859" s="26"/>
      <c r="F859" s="26"/>
      <c r="G859" s="28"/>
      <c r="H859" s="26"/>
      <c r="I859" s="26"/>
      <c r="J859" s="26"/>
      <c r="K859" s="34"/>
      <c r="L859" s="28"/>
      <c r="M859" s="28"/>
      <c r="N859" s="26"/>
    </row>
    <row r="860" spans="1:14">
      <c r="A860" s="26"/>
      <c r="B860" s="27"/>
      <c r="C860" s="26"/>
      <c r="D860" s="27"/>
      <c r="E860" s="26"/>
      <c r="F860" s="26"/>
      <c r="G860" s="28"/>
      <c r="H860" s="26"/>
      <c r="I860" s="26"/>
      <c r="J860" s="26"/>
      <c r="K860" s="34"/>
      <c r="L860" s="28"/>
      <c r="M860" s="28"/>
      <c r="N860" s="26"/>
    </row>
    <row r="861" spans="1:14">
      <c r="A861" s="26"/>
      <c r="B861" s="27"/>
      <c r="C861" s="26"/>
      <c r="D861" s="27"/>
      <c r="E861" s="26"/>
      <c r="F861" s="26"/>
      <c r="G861" s="28"/>
      <c r="H861" s="26"/>
      <c r="I861" s="26"/>
      <c r="J861" s="26"/>
      <c r="K861" s="34"/>
      <c r="L861" s="28"/>
      <c r="M861" s="28"/>
      <c r="N861" s="26"/>
    </row>
    <row r="862" spans="1:14">
      <c r="A862" s="26"/>
      <c r="B862" s="27"/>
      <c r="C862" s="26"/>
      <c r="D862" s="27"/>
      <c r="E862" s="26"/>
      <c r="F862" s="26"/>
      <c r="G862" s="28"/>
      <c r="H862" s="26"/>
      <c r="I862" s="26"/>
      <c r="J862" s="26"/>
      <c r="K862" s="34"/>
      <c r="L862" s="28"/>
      <c r="M862" s="28"/>
      <c r="N862" s="26"/>
    </row>
    <row r="863" spans="1:14">
      <c r="A863" s="26"/>
      <c r="B863" s="27"/>
      <c r="C863" s="26"/>
      <c r="D863" s="27"/>
      <c r="E863" s="26"/>
      <c r="F863" s="26"/>
      <c r="G863" s="28"/>
      <c r="H863" s="26"/>
      <c r="I863" s="26"/>
      <c r="J863" s="26"/>
      <c r="K863" s="34"/>
      <c r="L863" s="28"/>
      <c r="M863" s="28"/>
      <c r="N863" s="26"/>
    </row>
    <row r="864" spans="1:14">
      <c r="A864" s="26"/>
      <c r="B864" s="27"/>
      <c r="C864" s="26"/>
      <c r="D864" s="27"/>
      <c r="E864" s="26"/>
      <c r="F864" s="26"/>
      <c r="G864" s="28"/>
      <c r="H864" s="26"/>
      <c r="I864" s="26"/>
      <c r="J864" s="26"/>
      <c r="K864" s="34"/>
      <c r="L864" s="28"/>
      <c r="M864" s="28"/>
      <c r="N864" s="26"/>
    </row>
    <row r="865" spans="1:14">
      <c r="A865" s="26"/>
      <c r="B865" s="27"/>
      <c r="C865" s="26"/>
      <c r="D865" s="27"/>
      <c r="E865" s="26"/>
      <c r="F865" s="26"/>
      <c r="G865" s="28"/>
      <c r="H865" s="26"/>
      <c r="I865" s="26"/>
      <c r="J865" s="26"/>
      <c r="K865" s="34"/>
      <c r="L865" s="28"/>
      <c r="M865" s="28"/>
      <c r="N865" s="26"/>
    </row>
    <row r="866" spans="1:14">
      <c r="A866" s="26"/>
      <c r="B866" s="27"/>
      <c r="C866" s="26"/>
      <c r="D866" s="27"/>
      <c r="E866" s="26"/>
      <c r="F866" s="26"/>
      <c r="G866" s="28"/>
      <c r="H866" s="26"/>
      <c r="I866" s="26"/>
      <c r="J866" s="26"/>
      <c r="K866" s="34"/>
      <c r="L866" s="28"/>
      <c r="M866" s="28"/>
      <c r="N866" s="26"/>
    </row>
    <row r="867" spans="1:14">
      <c r="A867" s="26"/>
      <c r="B867" s="27"/>
      <c r="C867" s="26"/>
      <c r="D867" s="27"/>
      <c r="E867" s="26"/>
      <c r="F867" s="26"/>
      <c r="G867" s="28"/>
      <c r="H867" s="26"/>
      <c r="I867" s="26"/>
      <c r="J867" s="26"/>
      <c r="K867" s="34"/>
      <c r="L867" s="28"/>
      <c r="M867" s="28"/>
      <c r="N867" s="26"/>
    </row>
    <row r="868" spans="1:14">
      <c r="A868" s="26"/>
      <c r="B868" s="27"/>
      <c r="C868" s="26"/>
      <c r="D868" s="27"/>
      <c r="E868" s="26"/>
      <c r="F868" s="26"/>
      <c r="G868" s="28"/>
      <c r="H868" s="26"/>
      <c r="I868" s="26"/>
      <c r="J868" s="26"/>
      <c r="K868" s="34"/>
      <c r="L868" s="28"/>
      <c r="M868" s="28"/>
      <c r="N868" s="26"/>
    </row>
    <row r="869" spans="1:14">
      <c r="A869" s="26"/>
      <c r="B869" s="27"/>
      <c r="C869" s="26"/>
      <c r="D869" s="27"/>
      <c r="E869" s="26"/>
      <c r="F869" s="26"/>
      <c r="G869" s="28"/>
      <c r="H869" s="26"/>
      <c r="I869" s="26"/>
      <c r="J869" s="26"/>
      <c r="K869" s="34"/>
      <c r="L869" s="28"/>
      <c r="M869" s="28"/>
      <c r="N869" s="26"/>
    </row>
    <row r="870" spans="1:14">
      <c r="A870" s="26"/>
      <c r="B870" s="27"/>
      <c r="C870" s="26"/>
      <c r="D870" s="27"/>
      <c r="E870" s="26"/>
      <c r="F870" s="26"/>
      <c r="G870" s="28"/>
      <c r="H870" s="26"/>
      <c r="I870" s="26"/>
      <c r="J870" s="26"/>
      <c r="K870" s="34"/>
      <c r="L870" s="28"/>
      <c r="M870" s="28"/>
      <c r="N870" s="26"/>
    </row>
    <row r="871" spans="1:14">
      <c r="A871" s="26"/>
      <c r="B871" s="27"/>
      <c r="C871" s="26"/>
      <c r="D871" s="27"/>
      <c r="E871" s="26"/>
      <c r="F871" s="26"/>
      <c r="G871" s="28"/>
      <c r="H871" s="26"/>
      <c r="I871" s="26"/>
      <c r="J871" s="26"/>
      <c r="K871" s="34"/>
      <c r="L871" s="28"/>
      <c r="M871" s="28"/>
      <c r="N871" s="26"/>
    </row>
    <row r="872" spans="1:14">
      <c r="A872" s="26"/>
      <c r="B872" s="27"/>
      <c r="C872" s="26"/>
      <c r="D872" s="27"/>
      <c r="E872" s="26"/>
      <c r="F872" s="26"/>
      <c r="G872" s="28"/>
      <c r="H872" s="26"/>
      <c r="I872" s="26"/>
      <c r="J872" s="26"/>
      <c r="K872" s="34"/>
      <c r="L872" s="28"/>
      <c r="M872" s="28"/>
      <c r="N872" s="26"/>
    </row>
    <row r="873" spans="1:14">
      <c r="A873" s="26"/>
      <c r="B873" s="27"/>
      <c r="C873" s="26"/>
      <c r="D873" s="27"/>
      <c r="E873" s="26"/>
      <c r="F873" s="26"/>
      <c r="G873" s="28"/>
      <c r="H873" s="26"/>
      <c r="I873" s="26"/>
      <c r="J873" s="26"/>
      <c r="K873" s="34"/>
      <c r="L873" s="28"/>
      <c r="M873" s="28"/>
      <c r="N873" s="26"/>
    </row>
    <row r="874" spans="1:14">
      <c r="A874" s="26"/>
      <c r="B874" s="27"/>
      <c r="C874" s="26"/>
      <c r="D874" s="27"/>
      <c r="E874" s="26"/>
      <c r="F874" s="26"/>
      <c r="G874" s="28"/>
      <c r="H874" s="26"/>
      <c r="I874" s="26"/>
      <c r="J874" s="26"/>
      <c r="K874" s="34"/>
      <c r="L874" s="28"/>
      <c r="M874" s="28"/>
      <c r="N874" s="26"/>
    </row>
    <row r="875" spans="1:14">
      <c r="A875" s="26"/>
      <c r="B875" s="27"/>
      <c r="C875" s="26"/>
      <c r="D875" s="27"/>
      <c r="E875" s="26"/>
      <c r="F875" s="26"/>
      <c r="G875" s="28"/>
      <c r="H875" s="26"/>
      <c r="I875" s="26"/>
      <c r="J875" s="26"/>
      <c r="K875" s="34"/>
      <c r="L875" s="28"/>
      <c r="M875" s="28"/>
      <c r="N875" s="26"/>
    </row>
    <row r="876" spans="1:14">
      <c r="A876" s="26"/>
      <c r="B876" s="27"/>
      <c r="C876" s="26"/>
      <c r="D876" s="27"/>
      <c r="E876" s="26"/>
      <c r="F876" s="26"/>
      <c r="G876" s="28"/>
      <c r="H876" s="26"/>
      <c r="I876" s="26"/>
      <c r="J876" s="26"/>
      <c r="K876" s="34"/>
      <c r="L876" s="28"/>
      <c r="M876" s="28"/>
      <c r="N876" s="26"/>
    </row>
    <row r="877" spans="1:14">
      <c r="A877" s="26"/>
      <c r="B877" s="27"/>
      <c r="C877" s="26"/>
      <c r="D877" s="27"/>
      <c r="E877" s="26"/>
      <c r="F877" s="26"/>
      <c r="G877" s="28"/>
      <c r="H877" s="26"/>
      <c r="I877" s="26"/>
      <c r="J877" s="26"/>
      <c r="K877" s="34"/>
      <c r="L877" s="28"/>
      <c r="M877" s="28"/>
      <c r="N877" s="26"/>
    </row>
    <row r="878" spans="1:14">
      <c r="A878" s="26"/>
      <c r="B878" s="27"/>
      <c r="C878" s="26"/>
      <c r="D878" s="27"/>
      <c r="E878" s="26"/>
      <c r="F878" s="26"/>
      <c r="G878" s="28"/>
      <c r="H878" s="26"/>
      <c r="I878" s="26"/>
      <c r="J878" s="26"/>
      <c r="K878" s="34"/>
      <c r="L878" s="28"/>
      <c r="M878" s="28"/>
      <c r="N878" s="26"/>
    </row>
    <row r="879" spans="1:14">
      <c r="A879" s="26"/>
      <c r="B879" s="27"/>
      <c r="C879" s="26"/>
      <c r="D879" s="27"/>
      <c r="E879" s="26"/>
      <c r="F879" s="26"/>
      <c r="G879" s="28"/>
      <c r="H879" s="26"/>
      <c r="I879" s="26"/>
      <c r="J879" s="26"/>
      <c r="K879" s="34"/>
      <c r="L879" s="28"/>
      <c r="M879" s="28"/>
      <c r="N879" s="26"/>
    </row>
    <row r="880" spans="1:14">
      <c r="A880" s="26"/>
      <c r="B880" s="27"/>
      <c r="C880" s="26"/>
      <c r="D880" s="27"/>
      <c r="E880" s="26"/>
      <c r="F880" s="26"/>
      <c r="G880" s="28"/>
      <c r="H880" s="26"/>
      <c r="I880" s="26"/>
      <c r="J880" s="26"/>
      <c r="K880" s="34"/>
      <c r="L880" s="28"/>
      <c r="M880" s="28"/>
      <c r="N880" s="26"/>
    </row>
    <row r="881" spans="1:14">
      <c r="A881" s="26"/>
      <c r="B881" s="27"/>
      <c r="C881" s="26"/>
      <c r="D881" s="27"/>
      <c r="E881" s="26"/>
      <c r="F881" s="26"/>
      <c r="G881" s="28"/>
      <c r="H881" s="26"/>
      <c r="I881" s="26"/>
      <c r="J881" s="26"/>
      <c r="K881" s="34"/>
      <c r="L881" s="28"/>
      <c r="M881" s="28"/>
      <c r="N881" s="26"/>
    </row>
    <row r="882" spans="1:14">
      <c r="A882" s="26"/>
      <c r="B882" s="27"/>
      <c r="C882" s="26"/>
      <c r="D882" s="27"/>
      <c r="E882" s="26"/>
      <c r="F882" s="26"/>
      <c r="G882" s="28"/>
      <c r="H882" s="26"/>
      <c r="I882" s="26"/>
      <c r="J882" s="26"/>
      <c r="K882" s="34"/>
      <c r="L882" s="28"/>
      <c r="M882" s="28"/>
      <c r="N882" s="26"/>
    </row>
    <row r="883" spans="1:14">
      <c r="A883" s="26"/>
      <c r="B883" s="27"/>
      <c r="C883" s="26"/>
      <c r="D883" s="27"/>
      <c r="E883" s="26"/>
      <c r="F883" s="26"/>
      <c r="G883" s="28"/>
      <c r="H883" s="26"/>
      <c r="I883" s="26"/>
      <c r="J883" s="26"/>
      <c r="K883" s="34"/>
      <c r="L883" s="28"/>
      <c r="M883" s="28"/>
      <c r="N883" s="26"/>
    </row>
    <row r="884" spans="1:14">
      <c r="A884" s="26"/>
      <c r="B884" s="27"/>
      <c r="C884" s="26"/>
      <c r="D884" s="27"/>
      <c r="E884" s="26"/>
      <c r="F884" s="26"/>
      <c r="G884" s="28"/>
      <c r="H884" s="26"/>
      <c r="I884" s="26"/>
      <c r="J884" s="26"/>
      <c r="K884" s="34"/>
      <c r="L884" s="28"/>
      <c r="M884" s="28"/>
      <c r="N884" s="26"/>
    </row>
    <row r="885" spans="1:14">
      <c r="A885" s="26"/>
      <c r="B885" s="27"/>
      <c r="C885" s="26"/>
      <c r="D885" s="27"/>
      <c r="E885" s="26"/>
      <c r="F885" s="26"/>
      <c r="G885" s="28"/>
      <c r="H885" s="26"/>
      <c r="I885" s="26"/>
      <c r="J885" s="26"/>
      <c r="K885" s="34"/>
      <c r="L885" s="28"/>
      <c r="M885" s="28"/>
      <c r="N885" s="26"/>
    </row>
    <row r="886" spans="1:14">
      <c r="A886" s="26"/>
      <c r="B886" s="27"/>
      <c r="C886" s="26"/>
      <c r="D886" s="27"/>
      <c r="E886" s="26"/>
      <c r="F886" s="26"/>
      <c r="G886" s="28"/>
      <c r="H886" s="26"/>
      <c r="I886" s="26"/>
      <c r="J886" s="26"/>
      <c r="K886" s="34"/>
      <c r="L886" s="28"/>
      <c r="M886" s="28"/>
      <c r="N886" s="26"/>
    </row>
    <row r="887" spans="1:14">
      <c r="A887" s="26"/>
      <c r="B887" s="27"/>
      <c r="C887" s="26"/>
      <c r="D887" s="27"/>
      <c r="E887" s="26"/>
      <c r="F887" s="26"/>
      <c r="G887" s="28"/>
      <c r="H887" s="26"/>
      <c r="I887" s="26"/>
      <c r="J887" s="26"/>
      <c r="K887" s="34"/>
      <c r="L887" s="28"/>
      <c r="M887" s="28"/>
      <c r="N887" s="26"/>
    </row>
    <row r="888" spans="1:14">
      <c r="A888" s="26"/>
      <c r="B888" s="27"/>
      <c r="C888" s="26"/>
      <c r="D888" s="27"/>
      <c r="E888" s="26"/>
      <c r="F888" s="26"/>
      <c r="G888" s="28"/>
      <c r="H888" s="26"/>
      <c r="I888" s="26"/>
      <c r="J888" s="26"/>
      <c r="K888" s="34"/>
      <c r="L888" s="28"/>
      <c r="M888" s="28"/>
      <c r="N888" s="26"/>
    </row>
    <row r="889" spans="1:14">
      <c r="A889" s="26"/>
      <c r="B889" s="27"/>
      <c r="C889" s="26"/>
      <c r="D889" s="27"/>
      <c r="E889" s="26"/>
      <c r="F889" s="26"/>
      <c r="G889" s="28"/>
      <c r="H889" s="26"/>
      <c r="I889" s="26"/>
      <c r="J889" s="26"/>
      <c r="K889" s="34"/>
      <c r="L889" s="28"/>
      <c r="M889" s="28"/>
      <c r="N889" s="26"/>
    </row>
    <row r="890" spans="1:14">
      <c r="A890" s="26"/>
      <c r="B890" s="27"/>
      <c r="C890" s="26"/>
      <c r="D890" s="27"/>
      <c r="E890" s="26"/>
      <c r="F890" s="26"/>
      <c r="G890" s="28"/>
      <c r="H890" s="26"/>
      <c r="I890" s="26"/>
      <c r="J890" s="26"/>
      <c r="K890" s="34"/>
      <c r="L890" s="28"/>
      <c r="M890" s="28"/>
      <c r="N890" s="26"/>
    </row>
    <row r="891" spans="1:14">
      <c r="A891" s="26"/>
      <c r="B891" s="27"/>
      <c r="C891" s="26"/>
      <c r="D891" s="27"/>
      <c r="E891" s="26"/>
      <c r="F891" s="26"/>
      <c r="G891" s="28"/>
      <c r="H891" s="26"/>
      <c r="I891" s="26"/>
      <c r="J891" s="26"/>
      <c r="K891" s="34"/>
      <c r="L891" s="28"/>
      <c r="M891" s="28"/>
      <c r="N891" s="26"/>
    </row>
    <row r="892" spans="1:14">
      <c r="A892" s="26"/>
      <c r="B892" s="27"/>
      <c r="C892" s="26"/>
      <c r="D892" s="27"/>
      <c r="E892" s="26"/>
      <c r="F892" s="26"/>
      <c r="G892" s="28"/>
      <c r="H892" s="26"/>
      <c r="I892" s="26"/>
      <c r="J892" s="26"/>
      <c r="K892" s="34"/>
      <c r="L892" s="28"/>
      <c r="M892" s="28"/>
      <c r="N892" s="26"/>
    </row>
    <row r="893" spans="1:14">
      <c r="A893" s="26"/>
      <c r="B893" s="27"/>
      <c r="C893" s="26"/>
      <c r="D893" s="27"/>
      <c r="E893" s="26"/>
      <c r="F893" s="26"/>
      <c r="G893" s="28"/>
      <c r="H893" s="26"/>
      <c r="I893" s="26"/>
      <c r="J893" s="26"/>
      <c r="K893" s="34"/>
      <c r="L893" s="28"/>
      <c r="M893" s="28"/>
      <c r="N893" s="26"/>
    </row>
    <row r="894" spans="1:14">
      <c r="A894" s="26"/>
      <c r="B894" s="27"/>
      <c r="C894" s="26"/>
      <c r="D894" s="27"/>
      <c r="E894" s="26"/>
      <c r="F894" s="26"/>
      <c r="G894" s="28"/>
      <c r="H894" s="26"/>
      <c r="I894" s="26"/>
      <c r="J894" s="26"/>
      <c r="K894" s="34"/>
      <c r="L894" s="28"/>
      <c r="M894" s="28"/>
      <c r="N894" s="26"/>
    </row>
    <row r="895" spans="1:14">
      <c r="A895" s="26"/>
      <c r="B895" s="27"/>
      <c r="C895" s="26"/>
      <c r="D895" s="27"/>
      <c r="E895" s="26"/>
      <c r="F895" s="26"/>
      <c r="G895" s="28"/>
      <c r="H895" s="26"/>
      <c r="I895" s="26"/>
      <c r="J895" s="26"/>
      <c r="K895" s="34"/>
      <c r="L895" s="28"/>
      <c r="M895" s="28"/>
      <c r="N895" s="26"/>
    </row>
    <row r="896" spans="1:14">
      <c r="A896" s="26"/>
      <c r="B896" s="27"/>
      <c r="C896" s="26"/>
      <c r="D896" s="27"/>
      <c r="E896" s="26"/>
      <c r="F896" s="26"/>
      <c r="G896" s="28"/>
      <c r="H896" s="26"/>
      <c r="I896" s="26"/>
      <c r="J896" s="26"/>
      <c r="K896" s="34"/>
      <c r="L896" s="28"/>
      <c r="M896" s="28"/>
      <c r="N896" s="26"/>
    </row>
    <row r="897" spans="1:14">
      <c r="A897" s="26"/>
      <c r="B897" s="27"/>
      <c r="C897" s="26"/>
      <c r="D897" s="27"/>
      <c r="E897" s="26"/>
      <c r="F897" s="26"/>
      <c r="G897" s="28"/>
      <c r="H897" s="26"/>
      <c r="I897" s="26"/>
      <c r="J897" s="26"/>
      <c r="K897" s="34"/>
      <c r="L897" s="28"/>
      <c r="M897" s="28"/>
      <c r="N897" s="26"/>
    </row>
    <row r="898" spans="1:14">
      <c r="A898" s="26"/>
      <c r="B898" s="27"/>
      <c r="C898" s="26"/>
      <c r="D898" s="27"/>
      <c r="E898" s="26"/>
      <c r="F898" s="26"/>
      <c r="G898" s="28"/>
      <c r="H898" s="26"/>
      <c r="I898" s="26"/>
      <c r="J898" s="26"/>
      <c r="K898" s="34"/>
      <c r="L898" s="28"/>
      <c r="M898" s="28"/>
      <c r="N898" s="26"/>
    </row>
    <row r="899" spans="1:14">
      <c r="A899" s="26"/>
      <c r="B899" s="27"/>
      <c r="C899" s="26"/>
      <c r="D899" s="27"/>
      <c r="E899" s="26"/>
      <c r="F899" s="26"/>
      <c r="G899" s="28"/>
      <c r="H899" s="26"/>
      <c r="I899" s="26"/>
      <c r="J899" s="26"/>
      <c r="K899" s="34"/>
      <c r="L899" s="28"/>
      <c r="M899" s="28"/>
      <c r="N899" s="26"/>
    </row>
    <row r="900" spans="1:14">
      <c r="A900" s="26"/>
      <c r="B900" s="27"/>
      <c r="C900" s="26"/>
      <c r="D900" s="27"/>
      <c r="E900" s="26"/>
      <c r="F900" s="26"/>
      <c r="G900" s="28"/>
      <c r="H900" s="26"/>
      <c r="I900" s="26"/>
      <c r="J900" s="26"/>
      <c r="K900" s="34"/>
      <c r="L900" s="28"/>
      <c r="M900" s="28"/>
      <c r="N900" s="26"/>
    </row>
    <row r="901" spans="1:14">
      <c r="A901" s="26"/>
      <c r="B901" s="27"/>
      <c r="C901" s="26"/>
      <c r="D901" s="27"/>
      <c r="E901" s="26"/>
      <c r="F901" s="26"/>
      <c r="G901" s="28"/>
      <c r="H901" s="26"/>
      <c r="I901" s="26"/>
      <c r="J901" s="26"/>
      <c r="K901" s="34"/>
      <c r="L901" s="28"/>
      <c r="M901" s="28"/>
      <c r="N901" s="26"/>
    </row>
    <row r="902" spans="1:14">
      <c r="A902" s="26"/>
      <c r="B902" s="27"/>
      <c r="C902" s="26"/>
      <c r="D902" s="27"/>
      <c r="E902" s="26"/>
      <c r="F902" s="26"/>
      <c r="G902" s="28"/>
      <c r="H902" s="26"/>
      <c r="I902" s="26"/>
      <c r="J902" s="26"/>
      <c r="K902" s="34"/>
      <c r="L902" s="28"/>
      <c r="M902" s="28"/>
      <c r="N902" s="26"/>
    </row>
    <row r="903" spans="1:14">
      <c r="A903" s="26"/>
      <c r="B903" s="27"/>
      <c r="C903" s="26"/>
      <c r="D903" s="27"/>
      <c r="E903" s="26"/>
      <c r="F903" s="26"/>
      <c r="G903" s="28"/>
      <c r="H903" s="26"/>
      <c r="I903" s="26"/>
      <c r="J903" s="26"/>
      <c r="K903" s="34"/>
      <c r="L903" s="28"/>
      <c r="M903" s="28"/>
      <c r="N903" s="26"/>
    </row>
    <row r="904" spans="1:14">
      <c r="A904" s="26"/>
      <c r="B904" s="27"/>
      <c r="C904" s="26"/>
      <c r="D904" s="27"/>
      <c r="E904" s="26"/>
      <c r="F904" s="26"/>
      <c r="G904" s="28"/>
      <c r="H904" s="26"/>
      <c r="I904" s="26"/>
      <c r="J904" s="26"/>
      <c r="K904" s="34"/>
      <c r="L904" s="28"/>
      <c r="M904" s="28"/>
      <c r="N904" s="26"/>
    </row>
    <row r="905" spans="1:14">
      <c r="A905" s="26"/>
      <c r="B905" s="27"/>
      <c r="C905" s="26"/>
      <c r="D905" s="27"/>
      <c r="E905" s="26"/>
      <c r="F905" s="26"/>
      <c r="G905" s="28"/>
      <c r="H905" s="26"/>
      <c r="I905" s="26"/>
      <c r="J905" s="26"/>
      <c r="K905" s="34"/>
      <c r="L905" s="28"/>
      <c r="M905" s="28"/>
      <c r="N905" s="26"/>
    </row>
    <row r="906" spans="1:14">
      <c r="A906" s="26"/>
      <c r="B906" s="27"/>
      <c r="C906" s="26"/>
      <c r="D906" s="27"/>
      <c r="E906" s="26"/>
      <c r="F906" s="26"/>
      <c r="G906" s="28"/>
      <c r="H906" s="26"/>
      <c r="I906" s="26"/>
      <c r="J906" s="26"/>
      <c r="K906" s="34"/>
      <c r="L906" s="28"/>
      <c r="M906" s="28"/>
      <c r="N906" s="26"/>
    </row>
    <row r="907" spans="1:14">
      <c r="A907" s="26"/>
      <c r="B907" s="27"/>
      <c r="C907" s="26"/>
      <c r="D907" s="27"/>
      <c r="E907" s="26"/>
      <c r="F907" s="26"/>
      <c r="G907" s="28"/>
      <c r="H907" s="26"/>
      <c r="I907" s="26"/>
      <c r="J907" s="26"/>
      <c r="K907" s="34"/>
      <c r="L907" s="28"/>
      <c r="M907" s="28"/>
      <c r="N907" s="26"/>
    </row>
    <row r="908" spans="1:14">
      <c r="A908" s="26"/>
      <c r="B908" s="27"/>
      <c r="C908" s="26"/>
      <c r="D908" s="27"/>
      <c r="E908" s="26"/>
      <c r="F908" s="26"/>
      <c r="G908" s="28"/>
      <c r="H908" s="26"/>
      <c r="I908" s="26"/>
      <c r="J908" s="26"/>
      <c r="K908" s="34"/>
      <c r="L908" s="28"/>
      <c r="M908" s="28"/>
      <c r="N908" s="26"/>
    </row>
    <row r="909" spans="1:14">
      <c r="A909" s="26"/>
      <c r="B909" s="27"/>
      <c r="C909" s="26"/>
      <c r="D909" s="27"/>
      <c r="E909" s="26"/>
      <c r="F909" s="26"/>
      <c r="G909" s="28"/>
      <c r="H909" s="26"/>
      <c r="I909" s="26"/>
      <c r="J909" s="26"/>
      <c r="K909" s="34"/>
      <c r="L909" s="28"/>
      <c r="M909" s="28"/>
      <c r="N909" s="26"/>
    </row>
    <row r="910" spans="1:14">
      <c r="A910" s="26"/>
      <c r="B910" s="27"/>
      <c r="C910" s="26"/>
      <c r="D910" s="27"/>
      <c r="E910" s="26"/>
      <c r="F910" s="26"/>
      <c r="G910" s="28"/>
      <c r="H910" s="26"/>
      <c r="I910" s="26"/>
      <c r="J910" s="26"/>
      <c r="K910" s="34"/>
      <c r="L910" s="28"/>
      <c r="M910" s="28"/>
      <c r="N910" s="26"/>
    </row>
    <row r="911" spans="1:14">
      <c r="A911" s="26"/>
      <c r="B911" s="27"/>
      <c r="C911" s="26"/>
      <c r="D911" s="27"/>
      <c r="E911" s="26"/>
      <c r="F911" s="26"/>
      <c r="G911" s="28"/>
      <c r="H911" s="26"/>
      <c r="I911" s="26"/>
      <c r="J911" s="26"/>
      <c r="K911" s="34"/>
      <c r="L911" s="28"/>
      <c r="M911" s="28"/>
      <c r="N911" s="26"/>
    </row>
    <row r="912" spans="1:14">
      <c r="A912" s="26"/>
      <c r="B912" s="27"/>
      <c r="C912" s="26"/>
      <c r="D912" s="27"/>
      <c r="E912" s="26"/>
      <c r="F912" s="26"/>
      <c r="G912" s="28"/>
      <c r="H912" s="26"/>
      <c r="I912" s="26"/>
      <c r="J912" s="26"/>
      <c r="K912" s="34"/>
      <c r="L912" s="28"/>
      <c r="M912" s="28"/>
      <c r="N912" s="26"/>
    </row>
    <row r="913" spans="1:14">
      <c r="A913" s="26"/>
      <c r="B913" s="27"/>
      <c r="C913" s="26"/>
      <c r="D913" s="27"/>
      <c r="E913" s="26"/>
      <c r="F913" s="26"/>
      <c r="G913" s="28"/>
      <c r="H913" s="26"/>
      <c r="I913" s="26"/>
      <c r="J913" s="26"/>
      <c r="K913" s="34"/>
      <c r="L913" s="28"/>
      <c r="M913" s="28"/>
      <c r="N913" s="26"/>
    </row>
    <row r="914" spans="1:14">
      <c r="A914" s="26"/>
      <c r="B914" s="27"/>
      <c r="C914" s="26"/>
      <c r="D914" s="27"/>
      <c r="E914" s="26"/>
      <c r="F914" s="26"/>
      <c r="G914" s="28"/>
      <c r="H914" s="26"/>
      <c r="I914" s="26"/>
      <c r="J914" s="26"/>
      <c r="K914" s="34"/>
      <c r="L914" s="28"/>
      <c r="M914" s="28"/>
      <c r="N914" s="26"/>
    </row>
    <row r="915" spans="1:14">
      <c r="A915" s="26"/>
      <c r="B915" s="27"/>
      <c r="C915" s="26"/>
      <c r="D915" s="27"/>
      <c r="E915" s="26"/>
      <c r="F915" s="26"/>
      <c r="G915" s="28"/>
      <c r="H915" s="26"/>
      <c r="I915" s="26"/>
      <c r="J915" s="26"/>
      <c r="K915" s="34"/>
      <c r="L915" s="28"/>
      <c r="M915" s="28"/>
      <c r="N915" s="26"/>
    </row>
    <row r="916" spans="1:14">
      <c r="A916" s="26"/>
      <c r="B916" s="27"/>
      <c r="C916" s="26"/>
      <c r="D916" s="27"/>
      <c r="E916" s="26"/>
      <c r="F916" s="26"/>
      <c r="G916" s="28"/>
      <c r="H916" s="26"/>
      <c r="I916" s="26"/>
      <c r="J916" s="26"/>
      <c r="K916" s="34"/>
      <c r="L916" s="28"/>
      <c r="M916" s="28"/>
      <c r="N916" s="26"/>
    </row>
    <row r="917" spans="1:14">
      <c r="A917" s="26"/>
      <c r="B917" s="27"/>
      <c r="C917" s="26"/>
      <c r="D917" s="27"/>
      <c r="E917" s="26"/>
      <c r="F917" s="26"/>
      <c r="G917" s="28"/>
      <c r="H917" s="26"/>
      <c r="I917" s="26"/>
      <c r="J917" s="26"/>
      <c r="K917" s="34"/>
      <c r="L917" s="28"/>
      <c r="M917" s="28"/>
      <c r="N917" s="26"/>
    </row>
    <row r="918" spans="1:14">
      <c r="A918" s="26"/>
      <c r="B918" s="27"/>
      <c r="C918" s="26"/>
      <c r="D918" s="27"/>
      <c r="E918" s="26"/>
      <c r="F918" s="26"/>
      <c r="G918" s="28"/>
      <c r="H918" s="26"/>
      <c r="I918" s="26"/>
      <c r="J918" s="26"/>
      <c r="K918" s="34"/>
      <c r="L918" s="28"/>
      <c r="M918" s="28"/>
      <c r="N918" s="26"/>
    </row>
    <row r="919" spans="1:14">
      <c r="A919" s="26"/>
      <c r="B919" s="27"/>
      <c r="C919" s="26"/>
      <c r="D919" s="27"/>
      <c r="E919" s="26"/>
      <c r="F919" s="26"/>
      <c r="G919" s="28"/>
      <c r="H919" s="26"/>
      <c r="I919" s="26"/>
      <c r="J919" s="26"/>
      <c r="K919" s="34"/>
      <c r="L919" s="28"/>
      <c r="M919" s="28"/>
      <c r="N919" s="26"/>
    </row>
    <row r="920" spans="1:14">
      <c r="A920" s="26"/>
      <c r="B920" s="27"/>
      <c r="C920" s="26"/>
      <c r="D920" s="27"/>
      <c r="E920" s="26"/>
      <c r="F920" s="26"/>
      <c r="G920" s="28"/>
      <c r="H920" s="26"/>
      <c r="I920" s="26"/>
      <c r="J920" s="26"/>
      <c r="K920" s="34"/>
      <c r="L920" s="28"/>
      <c r="M920" s="28"/>
      <c r="N920" s="26"/>
    </row>
    <row r="921" spans="1:14">
      <c r="A921" s="26"/>
      <c r="B921" s="27"/>
      <c r="C921" s="26"/>
      <c r="D921" s="27"/>
      <c r="E921" s="26"/>
      <c r="F921" s="26"/>
      <c r="G921" s="28"/>
      <c r="H921" s="26"/>
      <c r="I921" s="26"/>
      <c r="J921" s="26"/>
      <c r="K921" s="34"/>
      <c r="L921" s="28"/>
      <c r="M921" s="28"/>
      <c r="N921" s="26"/>
    </row>
    <row r="922" spans="1:14">
      <c r="A922" s="26"/>
      <c r="B922" s="27"/>
      <c r="C922" s="26"/>
      <c r="D922" s="27"/>
      <c r="E922" s="26"/>
      <c r="F922" s="26"/>
      <c r="G922" s="28"/>
      <c r="H922" s="26"/>
      <c r="I922" s="26"/>
      <c r="J922" s="26"/>
      <c r="K922" s="34"/>
      <c r="L922" s="28"/>
      <c r="M922" s="28"/>
      <c r="N922" s="26"/>
    </row>
    <row r="923" spans="1:14">
      <c r="A923" s="26"/>
      <c r="B923" s="27"/>
      <c r="C923" s="26"/>
      <c r="D923" s="27"/>
      <c r="E923" s="26"/>
      <c r="F923" s="26"/>
      <c r="G923" s="28"/>
      <c r="H923" s="26"/>
      <c r="I923" s="26"/>
      <c r="J923" s="26"/>
      <c r="K923" s="34"/>
      <c r="L923" s="28"/>
      <c r="M923" s="28"/>
      <c r="N923" s="26"/>
    </row>
    <row r="924" spans="1:14">
      <c r="A924" s="26"/>
      <c r="B924" s="27"/>
      <c r="C924" s="26"/>
      <c r="D924" s="27"/>
      <c r="E924" s="26"/>
      <c r="F924" s="26"/>
      <c r="G924" s="28"/>
      <c r="H924" s="26"/>
      <c r="I924" s="26"/>
      <c r="J924" s="26"/>
      <c r="K924" s="34"/>
      <c r="L924" s="28"/>
      <c r="M924" s="28"/>
      <c r="N924" s="26"/>
    </row>
    <row r="925" spans="1:14">
      <c r="A925" s="26"/>
      <c r="B925" s="27"/>
      <c r="C925" s="26"/>
      <c r="D925" s="27"/>
      <c r="E925" s="26"/>
      <c r="F925" s="26"/>
      <c r="G925" s="28"/>
      <c r="H925" s="26"/>
      <c r="I925" s="26"/>
      <c r="J925" s="26"/>
      <c r="K925" s="34"/>
      <c r="L925" s="28"/>
      <c r="M925" s="28"/>
      <c r="N925" s="26"/>
    </row>
    <row r="926" spans="1:14">
      <c r="A926" s="26"/>
      <c r="B926" s="27"/>
      <c r="C926" s="26"/>
      <c r="D926" s="27"/>
      <c r="E926" s="26"/>
      <c r="F926" s="26"/>
      <c r="G926" s="28"/>
      <c r="H926" s="26"/>
      <c r="I926" s="26"/>
      <c r="J926" s="26"/>
      <c r="K926" s="34"/>
      <c r="L926" s="28"/>
      <c r="M926" s="28"/>
      <c r="N926" s="26"/>
    </row>
    <row r="927" spans="1:14">
      <c r="A927" s="26"/>
      <c r="B927" s="27"/>
      <c r="C927" s="26"/>
      <c r="D927" s="27"/>
      <c r="E927" s="26"/>
      <c r="F927" s="26"/>
      <c r="G927" s="28"/>
      <c r="H927" s="26"/>
      <c r="I927" s="26"/>
      <c r="J927" s="26"/>
      <c r="K927" s="34"/>
      <c r="L927" s="28"/>
      <c r="M927" s="28"/>
      <c r="N927" s="26"/>
    </row>
    <row r="928" spans="1:14">
      <c r="A928" s="26"/>
      <c r="B928" s="27"/>
      <c r="C928" s="26"/>
      <c r="D928" s="27"/>
      <c r="E928" s="26"/>
      <c r="F928" s="26"/>
      <c r="G928" s="28"/>
      <c r="H928" s="26"/>
      <c r="I928" s="26"/>
      <c r="J928" s="26"/>
      <c r="K928" s="34"/>
      <c r="L928" s="28"/>
      <c r="M928" s="28"/>
      <c r="N928" s="26"/>
    </row>
    <row r="929" spans="1:14">
      <c r="A929" s="26"/>
      <c r="B929" s="27"/>
      <c r="C929" s="26"/>
      <c r="D929" s="27"/>
      <c r="E929" s="26"/>
      <c r="F929" s="26"/>
      <c r="G929" s="28"/>
      <c r="H929" s="26"/>
      <c r="I929" s="26"/>
      <c r="J929" s="26"/>
      <c r="K929" s="34"/>
      <c r="L929" s="28"/>
      <c r="M929" s="28"/>
      <c r="N929" s="26"/>
    </row>
    <row r="930" spans="1:14">
      <c r="A930" s="26"/>
      <c r="B930" s="27"/>
      <c r="C930" s="26"/>
      <c r="D930" s="27"/>
      <c r="E930" s="26"/>
      <c r="F930" s="26"/>
      <c r="G930" s="28"/>
      <c r="H930" s="26"/>
      <c r="I930" s="26"/>
      <c r="J930" s="26"/>
      <c r="K930" s="34"/>
      <c r="L930" s="28"/>
      <c r="M930" s="28"/>
      <c r="N930" s="26"/>
    </row>
    <row r="931" spans="1:14">
      <c r="A931" s="26"/>
      <c r="B931" s="27"/>
      <c r="C931" s="26"/>
      <c r="D931" s="27"/>
      <c r="E931" s="26"/>
      <c r="F931" s="26"/>
      <c r="G931" s="28"/>
      <c r="H931" s="26"/>
      <c r="I931" s="26"/>
      <c r="J931" s="26"/>
      <c r="K931" s="34"/>
      <c r="L931" s="28"/>
      <c r="M931" s="28"/>
      <c r="N931" s="26"/>
    </row>
    <row r="932" spans="1:14">
      <c r="A932" s="26"/>
      <c r="B932" s="27"/>
      <c r="C932" s="26"/>
      <c r="D932" s="27"/>
      <c r="E932" s="26"/>
      <c r="F932" s="26"/>
      <c r="G932" s="28"/>
      <c r="H932" s="26"/>
      <c r="I932" s="26"/>
      <c r="J932" s="26"/>
      <c r="K932" s="34"/>
      <c r="L932" s="28"/>
      <c r="M932" s="28"/>
      <c r="N932" s="26"/>
    </row>
    <row r="933" spans="1:14">
      <c r="A933" s="26"/>
      <c r="B933" s="27"/>
      <c r="C933" s="26"/>
      <c r="D933" s="27"/>
      <c r="E933" s="26"/>
      <c r="F933" s="26"/>
      <c r="G933" s="28"/>
      <c r="H933" s="26"/>
      <c r="I933" s="26"/>
      <c r="J933" s="26"/>
      <c r="K933" s="34"/>
      <c r="L933" s="28"/>
      <c r="M933" s="28"/>
      <c r="N933" s="26"/>
    </row>
    <row r="934" spans="1:14">
      <c r="A934" s="26"/>
      <c r="B934" s="27"/>
      <c r="C934" s="26"/>
      <c r="D934" s="27"/>
      <c r="E934" s="26"/>
      <c r="F934" s="26"/>
      <c r="G934" s="28"/>
      <c r="H934" s="26"/>
      <c r="I934" s="26"/>
      <c r="J934" s="26"/>
      <c r="K934" s="34"/>
      <c r="L934" s="28"/>
      <c r="M934" s="28"/>
      <c r="N934" s="26"/>
    </row>
    <row r="935" spans="1:14">
      <c r="A935" s="26"/>
      <c r="B935" s="27"/>
      <c r="C935" s="26"/>
      <c r="D935" s="27"/>
      <c r="E935" s="26"/>
      <c r="F935" s="26"/>
      <c r="G935" s="28"/>
      <c r="H935" s="26"/>
      <c r="I935" s="26"/>
      <c r="J935" s="26"/>
      <c r="K935" s="34"/>
      <c r="L935" s="28"/>
      <c r="M935" s="28"/>
      <c r="N935" s="26"/>
    </row>
    <row r="936" spans="1:14">
      <c r="A936" s="26"/>
      <c r="B936" s="27"/>
      <c r="C936" s="26"/>
      <c r="D936" s="27"/>
      <c r="E936" s="26"/>
      <c r="F936" s="26"/>
      <c r="G936" s="28"/>
      <c r="H936" s="26"/>
      <c r="I936" s="26"/>
      <c r="J936" s="26"/>
      <c r="K936" s="34"/>
      <c r="L936" s="28"/>
      <c r="M936" s="28"/>
      <c r="N936" s="26"/>
    </row>
    <row r="937" spans="1:14">
      <c r="A937" s="26"/>
      <c r="B937" s="27"/>
      <c r="C937" s="26"/>
      <c r="D937" s="27"/>
      <c r="E937" s="26"/>
      <c r="F937" s="26"/>
      <c r="G937" s="28"/>
      <c r="H937" s="26"/>
      <c r="I937" s="26"/>
      <c r="J937" s="26"/>
      <c r="K937" s="34"/>
      <c r="L937" s="28"/>
      <c r="M937" s="28"/>
      <c r="N937" s="26"/>
    </row>
    <row r="938" spans="1:14">
      <c r="A938" s="26"/>
      <c r="B938" s="27"/>
      <c r="C938" s="26"/>
      <c r="D938" s="27"/>
      <c r="E938" s="26"/>
      <c r="F938" s="26"/>
      <c r="G938" s="28"/>
      <c r="H938" s="26"/>
      <c r="I938" s="26"/>
      <c r="J938" s="26"/>
      <c r="K938" s="34"/>
      <c r="L938" s="28"/>
      <c r="M938" s="28"/>
      <c r="N938" s="26"/>
    </row>
    <row r="939" spans="1:14">
      <c r="A939" s="26"/>
      <c r="B939" s="27"/>
      <c r="C939" s="26"/>
      <c r="D939" s="27"/>
      <c r="E939" s="26"/>
      <c r="F939" s="26"/>
      <c r="G939" s="28"/>
      <c r="H939" s="26"/>
      <c r="I939" s="26"/>
      <c r="J939" s="26"/>
      <c r="K939" s="34"/>
      <c r="L939" s="28"/>
      <c r="M939" s="28"/>
      <c r="N939" s="26"/>
    </row>
    <row r="940" spans="1:14">
      <c r="A940" s="26"/>
      <c r="B940" s="27"/>
      <c r="C940" s="26"/>
      <c r="D940" s="27"/>
      <c r="E940" s="26"/>
      <c r="F940" s="26"/>
      <c r="G940" s="28"/>
      <c r="H940" s="26"/>
      <c r="I940" s="26"/>
      <c r="J940" s="26"/>
      <c r="K940" s="34"/>
      <c r="L940" s="28"/>
      <c r="M940" s="28"/>
      <c r="N940" s="26"/>
    </row>
    <row r="941" spans="1:14">
      <c r="A941" s="26"/>
      <c r="B941" s="27"/>
      <c r="C941" s="26"/>
      <c r="D941" s="27"/>
      <c r="E941" s="26"/>
      <c r="F941" s="26"/>
      <c r="G941" s="28"/>
      <c r="H941" s="26"/>
      <c r="I941" s="26"/>
      <c r="J941" s="26"/>
      <c r="K941" s="34"/>
      <c r="L941" s="28"/>
      <c r="M941" s="28"/>
      <c r="N941" s="26"/>
    </row>
    <row r="942" spans="1:14">
      <c r="A942" s="26"/>
      <c r="B942" s="27"/>
      <c r="C942" s="26"/>
      <c r="D942" s="27"/>
      <c r="E942" s="26"/>
      <c r="F942" s="26"/>
      <c r="G942" s="28"/>
      <c r="H942" s="26"/>
      <c r="I942" s="26"/>
      <c r="J942" s="26"/>
      <c r="K942" s="34"/>
      <c r="L942" s="28"/>
      <c r="M942" s="28"/>
      <c r="N942" s="26"/>
    </row>
    <row r="943" spans="1:14">
      <c r="A943" s="26"/>
      <c r="B943" s="27"/>
      <c r="C943" s="26"/>
      <c r="D943" s="27"/>
      <c r="E943" s="26"/>
      <c r="F943" s="26"/>
      <c r="G943" s="28"/>
      <c r="H943" s="26"/>
      <c r="I943" s="26"/>
      <c r="J943" s="26"/>
      <c r="K943" s="34"/>
      <c r="L943" s="28"/>
      <c r="M943" s="28"/>
      <c r="N943" s="26"/>
    </row>
    <row r="944" spans="1:14">
      <c r="A944" s="26"/>
      <c r="B944" s="27"/>
      <c r="C944" s="26"/>
      <c r="D944" s="27"/>
      <c r="E944" s="26"/>
      <c r="F944" s="26"/>
      <c r="G944" s="28"/>
      <c r="H944" s="26"/>
      <c r="I944" s="26"/>
      <c r="J944" s="26"/>
      <c r="K944" s="34"/>
      <c r="L944" s="28"/>
      <c r="M944" s="28"/>
      <c r="N944" s="26"/>
    </row>
    <row r="945" spans="1:14">
      <c r="A945" s="26"/>
      <c r="B945" s="27"/>
      <c r="C945" s="26"/>
      <c r="D945" s="27"/>
      <c r="E945" s="26"/>
      <c r="F945" s="26"/>
      <c r="G945" s="28"/>
      <c r="H945" s="26"/>
      <c r="I945" s="26"/>
      <c r="J945" s="26"/>
      <c r="K945" s="34"/>
      <c r="L945" s="28"/>
      <c r="M945" s="28"/>
      <c r="N945" s="26"/>
    </row>
    <row r="946" spans="1:14">
      <c r="A946" s="26"/>
      <c r="B946" s="27"/>
      <c r="C946" s="26"/>
      <c r="D946" s="27"/>
      <c r="E946" s="26"/>
      <c r="F946" s="26"/>
      <c r="G946" s="28"/>
      <c r="H946" s="26"/>
      <c r="I946" s="26"/>
      <c r="J946" s="26"/>
      <c r="K946" s="34"/>
      <c r="L946" s="28"/>
      <c r="M946" s="28"/>
      <c r="N946" s="26"/>
    </row>
    <row r="947" spans="1:14">
      <c r="A947" s="26"/>
      <c r="B947" s="27"/>
      <c r="C947" s="26"/>
      <c r="D947" s="27"/>
      <c r="E947" s="26"/>
      <c r="F947" s="26"/>
      <c r="G947" s="28"/>
      <c r="H947" s="26"/>
      <c r="I947" s="26"/>
      <c r="J947" s="26"/>
      <c r="K947" s="34"/>
      <c r="L947" s="28"/>
      <c r="M947" s="28"/>
      <c r="N947" s="26"/>
    </row>
    <row r="948" spans="1:14">
      <c r="A948" s="26"/>
      <c r="B948" s="27"/>
      <c r="C948" s="26"/>
      <c r="D948" s="27"/>
      <c r="E948" s="26"/>
      <c r="F948" s="26"/>
      <c r="G948" s="28"/>
      <c r="H948" s="26"/>
      <c r="I948" s="26"/>
      <c r="J948" s="26"/>
      <c r="K948" s="34"/>
      <c r="L948" s="28"/>
      <c r="M948" s="28"/>
      <c r="N948" s="26"/>
    </row>
    <row r="949" spans="1:14">
      <c r="A949" s="26"/>
      <c r="B949" s="27"/>
      <c r="C949" s="26"/>
      <c r="D949" s="27"/>
      <c r="E949" s="26"/>
      <c r="F949" s="26"/>
      <c r="G949" s="28"/>
      <c r="H949" s="26"/>
      <c r="I949" s="26"/>
      <c r="J949" s="26"/>
      <c r="K949" s="34"/>
      <c r="L949" s="28"/>
      <c r="M949" s="28"/>
      <c r="N949" s="26"/>
    </row>
    <row r="950" spans="1:14">
      <c r="A950" s="26"/>
      <c r="B950" s="27"/>
      <c r="C950" s="26"/>
      <c r="D950" s="27"/>
      <c r="E950" s="26"/>
      <c r="F950" s="26"/>
      <c r="G950" s="28"/>
      <c r="H950" s="26"/>
      <c r="I950" s="26"/>
      <c r="J950" s="26"/>
      <c r="K950" s="34"/>
      <c r="L950" s="28"/>
      <c r="M950" s="28"/>
      <c r="N950" s="26"/>
    </row>
    <row r="951" spans="1:14">
      <c r="A951" s="26"/>
      <c r="B951" s="27"/>
      <c r="C951" s="26"/>
      <c r="D951" s="27"/>
      <c r="E951" s="26"/>
      <c r="F951" s="26"/>
      <c r="G951" s="28"/>
      <c r="H951" s="26"/>
      <c r="I951" s="26"/>
      <c r="J951" s="26"/>
      <c r="K951" s="34"/>
      <c r="L951" s="28"/>
      <c r="M951" s="28"/>
      <c r="N951" s="26"/>
    </row>
    <row r="952" spans="1:14">
      <c r="A952" s="26"/>
      <c r="B952" s="27"/>
      <c r="C952" s="26"/>
      <c r="D952" s="27"/>
      <c r="E952" s="26"/>
      <c r="F952" s="26"/>
      <c r="G952" s="28"/>
      <c r="H952" s="26"/>
      <c r="I952" s="26"/>
      <c r="J952" s="26"/>
      <c r="K952" s="34"/>
      <c r="L952" s="28"/>
      <c r="M952" s="28"/>
      <c r="N952" s="26"/>
    </row>
    <row r="953" spans="1:14">
      <c r="A953" s="26"/>
      <c r="B953" s="27"/>
      <c r="C953" s="26"/>
      <c r="D953" s="27"/>
      <c r="E953" s="26"/>
      <c r="F953" s="26"/>
      <c r="G953" s="28"/>
      <c r="H953" s="26"/>
      <c r="I953" s="26"/>
      <c r="J953" s="26"/>
      <c r="K953" s="34"/>
      <c r="L953" s="28"/>
      <c r="M953" s="28"/>
      <c r="N953" s="26"/>
    </row>
    <row r="954" spans="1:14">
      <c r="A954" s="26"/>
      <c r="B954" s="27"/>
      <c r="C954" s="26"/>
      <c r="D954" s="27"/>
      <c r="E954" s="26"/>
      <c r="F954" s="26"/>
      <c r="G954" s="28"/>
      <c r="H954" s="26"/>
      <c r="I954" s="26"/>
      <c r="J954" s="26"/>
      <c r="K954" s="34"/>
      <c r="L954" s="28"/>
      <c r="M954" s="28"/>
      <c r="N954" s="26"/>
    </row>
    <row r="955" spans="1:14">
      <c r="A955" s="26"/>
      <c r="B955" s="27"/>
      <c r="C955" s="26"/>
      <c r="D955" s="27"/>
      <c r="E955" s="26"/>
      <c r="F955" s="26"/>
      <c r="G955" s="28"/>
      <c r="H955" s="26"/>
      <c r="I955" s="26"/>
      <c r="J955" s="26"/>
      <c r="K955" s="34"/>
      <c r="L955" s="28"/>
      <c r="M955" s="28"/>
      <c r="N955" s="26"/>
    </row>
    <row r="956" spans="1:14">
      <c r="A956" s="26"/>
      <c r="B956" s="27"/>
      <c r="C956" s="26"/>
      <c r="D956" s="27"/>
      <c r="E956" s="26"/>
      <c r="F956" s="26"/>
      <c r="G956" s="28"/>
      <c r="H956" s="26"/>
      <c r="I956" s="26"/>
      <c r="J956" s="26"/>
      <c r="K956" s="34"/>
      <c r="L956" s="28"/>
      <c r="M956" s="28"/>
      <c r="N956" s="26"/>
    </row>
    <row r="957" spans="1:14">
      <c r="A957" s="26"/>
      <c r="B957" s="27"/>
      <c r="C957" s="26"/>
      <c r="D957" s="27"/>
      <c r="E957" s="26"/>
      <c r="F957" s="26"/>
      <c r="G957" s="28"/>
      <c r="H957" s="26"/>
      <c r="I957" s="26"/>
      <c r="J957" s="26"/>
      <c r="K957" s="34"/>
      <c r="L957" s="28"/>
      <c r="M957" s="28"/>
      <c r="N957" s="26"/>
    </row>
    <row r="958" spans="1:14">
      <c r="A958" s="26"/>
      <c r="B958" s="27"/>
      <c r="C958" s="26"/>
      <c r="D958" s="27"/>
      <c r="E958" s="26"/>
      <c r="F958" s="26"/>
      <c r="G958" s="28"/>
      <c r="H958" s="26"/>
      <c r="I958" s="26"/>
      <c r="J958" s="26"/>
      <c r="K958" s="34"/>
      <c r="L958" s="28"/>
      <c r="M958" s="28"/>
      <c r="N958" s="26"/>
    </row>
    <row r="959" spans="1:14">
      <c r="A959" s="26"/>
      <c r="B959" s="27"/>
      <c r="C959" s="26"/>
      <c r="D959" s="27"/>
      <c r="E959" s="26"/>
      <c r="F959" s="26"/>
      <c r="G959" s="28"/>
      <c r="H959" s="26"/>
      <c r="I959" s="26"/>
      <c r="J959" s="26"/>
      <c r="K959" s="34"/>
      <c r="L959" s="28"/>
      <c r="M959" s="28"/>
      <c r="N959" s="26"/>
    </row>
    <row r="960" spans="1:14">
      <c r="A960" s="26"/>
      <c r="B960" s="27"/>
      <c r="C960" s="26"/>
      <c r="D960" s="27"/>
      <c r="E960" s="26"/>
      <c r="F960" s="26"/>
      <c r="G960" s="28"/>
      <c r="H960" s="26"/>
      <c r="I960" s="26"/>
      <c r="J960" s="26"/>
      <c r="K960" s="34"/>
      <c r="L960" s="28"/>
      <c r="M960" s="28"/>
      <c r="N960" s="26"/>
    </row>
    <row r="961" spans="1:14">
      <c r="A961" s="26"/>
      <c r="B961" s="27"/>
      <c r="C961" s="26"/>
      <c r="D961" s="27"/>
      <c r="E961" s="26"/>
      <c r="F961" s="26"/>
      <c r="G961" s="28"/>
      <c r="H961" s="26"/>
      <c r="I961" s="26"/>
      <c r="J961" s="26"/>
      <c r="K961" s="34"/>
      <c r="L961" s="28"/>
      <c r="M961" s="28"/>
      <c r="N961" s="26"/>
    </row>
    <row r="962" spans="1:14">
      <c r="A962" s="26"/>
      <c r="B962" s="27"/>
      <c r="C962" s="26"/>
      <c r="D962" s="27"/>
      <c r="E962" s="26"/>
      <c r="F962" s="26"/>
      <c r="G962" s="28"/>
      <c r="H962" s="26"/>
      <c r="I962" s="26"/>
      <c r="J962" s="26"/>
      <c r="K962" s="34"/>
      <c r="L962" s="28"/>
      <c r="M962" s="28"/>
      <c r="N962" s="26"/>
    </row>
    <row r="963" spans="1:14">
      <c r="A963" s="26"/>
      <c r="B963" s="27"/>
      <c r="C963" s="26"/>
      <c r="D963" s="27"/>
      <c r="E963" s="26"/>
      <c r="F963" s="26"/>
      <c r="G963" s="28"/>
      <c r="H963" s="26"/>
      <c r="I963" s="26"/>
      <c r="J963" s="26"/>
      <c r="K963" s="34"/>
      <c r="L963" s="28"/>
      <c r="M963" s="28"/>
      <c r="N963" s="26"/>
    </row>
    <row r="964" spans="1:14">
      <c r="A964" s="26"/>
      <c r="B964" s="27"/>
      <c r="C964" s="26"/>
      <c r="D964" s="27"/>
      <c r="E964" s="26"/>
      <c r="F964" s="26"/>
      <c r="G964" s="28"/>
      <c r="H964" s="26"/>
      <c r="I964" s="26"/>
      <c r="J964" s="26"/>
      <c r="K964" s="34"/>
      <c r="L964" s="28"/>
      <c r="M964" s="28"/>
      <c r="N964" s="26"/>
    </row>
    <row r="965" spans="1:14">
      <c r="A965" s="26"/>
      <c r="B965" s="27"/>
      <c r="C965" s="26"/>
      <c r="D965" s="27"/>
      <c r="E965" s="26"/>
      <c r="F965" s="26"/>
      <c r="G965" s="28"/>
      <c r="H965" s="26"/>
      <c r="I965" s="26"/>
      <c r="J965" s="26"/>
      <c r="K965" s="34"/>
      <c r="L965" s="28"/>
      <c r="M965" s="28"/>
      <c r="N965" s="26"/>
    </row>
    <row r="966" spans="1:14">
      <c r="A966" s="26"/>
      <c r="B966" s="27"/>
      <c r="C966" s="26"/>
      <c r="D966" s="27"/>
      <c r="E966" s="26"/>
      <c r="F966" s="26"/>
      <c r="G966" s="28"/>
      <c r="H966" s="26"/>
      <c r="I966" s="26"/>
      <c r="J966" s="26"/>
      <c r="K966" s="34"/>
      <c r="L966" s="28"/>
      <c r="M966" s="28"/>
      <c r="N966" s="26"/>
    </row>
    <row r="967" spans="1:14">
      <c r="A967" s="26"/>
      <c r="B967" s="27"/>
      <c r="C967" s="26"/>
      <c r="D967" s="27"/>
      <c r="E967" s="26"/>
      <c r="F967" s="26"/>
      <c r="G967" s="28"/>
      <c r="H967" s="26"/>
      <c r="I967" s="26"/>
      <c r="J967" s="26"/>
      <c r="K967" s="34"/>
      <c r="L967" s="28"/>
      <c r="M967" s="28"/>
      <c r="N967" s="26"/>
    </row>
    <row r="968" spans="1:14">
      <c r="A968" s="26"/>
      <c r="B968" s="27"/>
      <c r="C968" s="26"/>
      <c r="D968" s="27"/>
      <c r="E968" s="26"/>
      <c r="F968" s="26"/>
      <c r="G968" s="28"/>
      <c r="H968" s="26"/>
      <c r="I968" s="26"/>
      <c r="J968" s="26"/>
      <c r="K968" s="34"/>
      <c r="L968" s="28"/>
      <c r="M968" s="28"/>
      <c r="N968" s="26"/>
    </row>
    <row r="969" spans="1:14">
      <c r="A969" s="26"/>
      <c r="B969" s="27"/>
      <c r="C969" s="26"/>
      <c r="D969" s="27"/>
      <c r="E969" s="26"/>
      <c r="F969" s="26"/>
      <c r="G969" s="28"/>
      <c r="H969" s="26"/>
      <c r="I969" s="26"/>
      <c r="J969" s="26"/>
      <c r="K969" s="34"/>
      <c r="L969" s="28"/>
      <c r="M969" s="28"/>
      <c r="N969" s="26"/>
    </row>
    <row r="970" spans="1:14">
      <c r="A970" s="26"/>
      <c r="B970" s="27"/>
      <c r="C970" s="26"/>
      <c r="D970" s="27"/>
      <c r="E970" s="26"/>
      <c r="F970" s="26"/>
      <c r="G970" s="28"/>
      <c r="H970" s="26"/>
      <c r="I970" s="26"/>
      <c r="J970" s="26"/>
      <c r="K970" s="34"/>
      <c r="L970" s="28"/>
      <c r="M970" s="28"/>
      <c r="N970" s="26"/>
    </row>
    <row r="971" spans="1:14">
      <c r="A971" s="26"/>
      <c r="B971" s="27"/>
      <c r="C971" s="26"/>
      <c r="D971" s="27"/>
      <c r="E971" s="26"/>
      <c r="F971" s="26"/>
      <c r="G971" s="28"/>
      <c r="H971" s="26"/>
      <c r="I971" s="26"/>
      <c r="J971" s="26"/>
      <c r="K971" s="34"/>
      <c r="L971" s="28"/>
      <c r="M971" s="28"/>
      <c r="N971" s="26"/>
    </row>
    <row r="972" spans="1:14">
      <c r="A972" s="26"/>
      <c r="B972" s="27"/>
      <c r="C972" s="26"/>
      <c r="D972" s="27"/>
      <c r="E972" s="26"/>
      <c r="F972" s="26"/>
      <c r="G972" s="28"/>
      <c r="H972" s="26"/>
      <c r="I972" s="26"/>
      <c r="J972" s="26"/>
      <c r="K972" s="34"/>
      <c r="L972" s="28"/>
      <c r="M972" s="28"/>
      <c r="N972" s="26"/>
    </row>
    <row r="973" spans="1:14">
      <c r="A973" s="26"/>
      <c r="B973" s="27"/>
      <c r="C973" s="26"/>
      <c r="D973" s="27"/>
      <c r="E973" s="26"/>
      <c r="F973" s="26"/>
      <c r="G973" s="28"/>
      <c r="H973" s="26"/>
      <c r="I973" s="26"/>
      <c r="J973" s="26"/>
      <c r="K973" s="34"/>
      <c r="L973" s="28"/>
      <c r="M973" s="28"/>
      <c r="N973" s="26"/>
    </row>
    <row r="974" spans="1:14">
      <c r="A974" s="26"/>
      <c r="B974" s="27"/>
      <c r="C974" s="26"/>
      <c r="D974" s="27"/>
      <c r="E974" s="26"/>
      <c r="F974" s="26"/>
      <c r="G974" s="28"/>
      <c r="H974" s="26"/>
      <c r="I974" s="26"/>
      <c r="J974" s="26"/>
      <c r="K974" s="34"/>
      <c r="L974" s="28"/>
      <c r="M974" s="28"/>
      <c r="N974" s="26"/>
    </row>
    <row r="975" spans="1:14">
      <c r="A975" s="26"/>
      <c r="B975" s="27"/>
      <c r="C975" s="26"/>
      <c r="D975" s="27"/>
      <c r="E975" s="26"/>
      <c r="F975" s="26"/>
      <c r="G975" s="28"/>
      <c r="H975" s="26"/>
      <c r="I975" s="26"/>
      <c r="J975" s="26"/>
      <c r="K975" s="34"/>
      <c r="L975" s="28"/>
      <c r="M975" s="28"/>
      <c r="N975" s="26"/>
    </row>
    <row r="976" spans="1:14">
      <c r="A976" s="26"/>
      <c r="B976" s="27"/>
      <c r="C976" s="26"/>
      <c r="D976" s="27"/>
      <c r="E976" s="26"/>
      <c r="F976" s="26"/>
      <c r="G976" s="28"/>
      <c r="H976" s="26"/>
      <c r="I976" s="26"/>
      <c r="J976" s="26"/>
      <c r="K976" s="34"/>
      <c r="L976" s="28"/>
      <c r="M976" s="28"/>
      <c r="N976" s="26"/>
    </row>
    <row r="977" spans="1:14">
      <c r="A977" s="26"/>
      <c r="B977" s="27"/>
      <c r="C977" s="26"/>
      <c r="D977" s="27"/>
      <c r="E977" s="26"/>
      <c r="F977" s="26"/>
      <c r="G977" s="28"/>
      <c r="H977" s="26"/>
      <c r="I977" s="26"/>
      <c r="J977" s="26"/>
      <c r="K977" s="34"/>
      <c r="L977" s="28"/>
      <c r="M977" s="28"/>
      <c r="N977" s="26"/>
    </row>
    <row r="978" spans="1:14">
      <c r="A978" s="26"/>
      <c r="B978" s="27"/>
      <c r="C978" s="26"/>
      <c r="D978" s="27"/>
      <c r="E978" s="26"/>
      <c r="F978" s="26"/>
      <c r="G978" s="28"/>
      <c r="H978" s="26"/>
      <c r="I978" s="26"/>
      <c r="J978" s="26"/>
      <c r="K978" s="34"/>
      <c r="L978" s="28"/>
      <c r="M978" s="28"/>
      <c r="N978" s="26"/>
    </row>
    <row r="979" spans="1:14">
      <c r="A979" s="26"/>
      <c r="B979" s="27"/>
      <c r="C979" s="26"/>
      <c r="D979" s="27"/>
      <c r="E979" s="26"/>
      <c r="F979" s="26"/>
      <c r="G979" s="28"/>
      <c r="H979" s="26"/>
      <c r="I979" s="26"/>
      <c r="J979" s="26"/>
      <c r="K979" s="34"/>
      <c r="L979" s="28"/>
      <c r="M979" s="28"/>
      <c r="N979" s="26"/>
    </row>
    <row r="980" spans="1:14">
      <c r="A980" s="26"/>
      <c r="B980" s="27"/>
      <c r="C980" s="26"/>
      <c r="D980" s="27"/>
      <c r="E980" s="26"/>
      <c r="F980" s="26"/>
      <c r="G980" s="28"/>
      <c r="H980" s="26"/>
      <c r="I980" s="26"/>
      <c r="J980" s="26"/>
      <c r="K980" s="34"/>
      <c r="L980" s="28"/>
      <c r="M980" s="28"/>
      <c r="N980" s="26"/>
    </row>
    <row r="981" spans="1:14">
      <c r="A981" s="26"/>
      <c r="B981" s="27"/>
      <c r="C981" s="26"/>
      <c r="D981" s="27"/>
      <c r="E981" s="26"/>
      <c r="F981" s="26"/>
      <c r="G981" s="28"/>
      <c r="H981" s="26"/>
      <c r="I981" s="26"/>
      <c r="J981" s="26"/>
      <c r="K981" s="34"/>
      <c r="L981" s="28"/>
      <c r="M981" s="28"/>
      <c r="N981" s="26"/>
    </row>
    <row r="982" spans="1:14">
      <c r="A982" s="26"/>
      <c r="B982" s="27"/>
      <c r="C982" s="26"/>
      <c r="D982" s="27"/>
      <c r="E982" s="26"/>
      <c r="F982" s="26"/>
      <c r="G982" s="28"/>
      <c r="H982" s="26"/>
      <c r="I982" s="26"/>
      <c r="J982" s="26"/>
      <c r="K982" s="34"/>
      <c r="L982" s="28"/>
      <c r="M982" s="28"/>
      <c r="N982" s="26"/>
    </row>
    <row r="983" spans="1:14">
      <c r="A983" s="26"/>
      <c r="B983" s="27"/>
      <c r="C983" s="26"/>
      <c r="D983" s="27"/>
      <c r="E983" s="26"/>
      <c r="F983" s="26"/>
      <c r="G983" s="28"/>
      <c r="H983" s="26"/>
      <c r="I983" s="26"/>
      <c r="J983" s="26"/>
      <c r="K983" s="34"/>
      <c r="L983" s="28"/>
      <c r="M983" s="28"/>
      <c r="N983" s="26"/>
    </row>
    <row r="984" spans="1:14">
      <c r="A984" s="26"/>
      <c r="B984" s="27"/>
      <c r="C984" s="26"/>
      <c r="D984" s="27"/>
      <c r="E984" s="26"/>
      <c r="F984" s="26"/>
      <c r="G984" s="28"/>
      <c r="H984" s="26"/>
      <c r="I984" s="26"/>
      <c r="J984" s="26"/>
      <c r="K984" s="34"/>
      <c r="L984" s="28"/>
      <c r="M984" s="28"/>
      <c r="N984" s="26"/>
    </row>
    <row r="985" spans="1:14">
      <c r="A985" s="26"/>
      <c r="B985" s="27"/>
      <c r="C985" s="26"/>
      <c r="D985" s="27"/>
      <c r="E985" s="26"/>
      <c r="F985" s="26"/>
      <c r="G985" s="28"/>
      <c r="H985" s="26"/>
      <c r="I985" s="26"/>
      <c r="J985" s="26"/>
      <c r="K985" s="34"/>
      <c r="L985" s="28"/>
      <c r="M985" s="28"/>
      <c r="N985" s="26"/>
    </row>
    <row r="986" spans="1:14">
      <c r="A986" s="26"/>
      <c r="B986" s="27"/>
      <c r="C986" s="26"/>
      <c r="D986" s="27"/>
      <c r="E986" s="26"/>
      <c r="F986" s="26"/>
      <c r="G986" s="28"/>
      <c r="H986" s="26"/>
      <c r="I986" s="26"/>
      <c r="J986" s="26"/>
      <c r="K986" s="34"/>
      <c r="L986" s="28"/>
      <c r="M986" s="28"/>
      <c r="N986" s="26"/>
    </row>
    <row r="987" spans="1:14">
      <c r="A987" s="26"/>
      <c r="B987" s="27"/>
      <c r="C987" s="26"/>
      <c r="D987" s="27"/>
      <c r="E987" s="26"/>
      <c r="F987" s="26"/>
      <c r="G987" s="28"/>
      <c r="H987" s="26"/>
      <c r="I987" s="26"/>
      <c r="J987" s="26"/>
      <c r="K987" s="34"/>
      <c r="L987" s="28"/>
      <c r="M987" s="28"/>
      <c r="N987" s="26"/>
    </row>
    <row r="988" spans="1:14">
      <c r="A988" s="26"/>
      <c r="B988" s="27"/>
      <c r="C988" s="26"/>
      <c r="D988" s="27"/>
      <c r="E988" s="26"/>
      <c r="F988" s="26"/>
      <c r="G988" s="28"/>
      <c r="H988" s="26"/>
      <c r="I988" s="26"/>
      <c r="J988" s="26"/>
      <c r="K988" s="34"/>
      <c r="L988" s="28"/>
      <c r="M988" s="28"/>
      <c r="N988" s="26"/>
    </row>
    <row r="989" spans="1:14">
      <c r="A989" s="26"/>
      <c r="B989" s="27"/>
      <c r="C989" s="26"/>
      <c r="D989" s="27"/>
      <c r="E989" s="26"/>
      <c r="F989" s="26"/>
      <c r="G989" s="28"/>
      <c r="H989" s="26"/>
      <c r="I989" s="26"/>
      <c r="J989" s="26"/>
      <c r="K989" s="34"/>
      <c r="L989" s="28"/>
      <c r="M989" s="28"/>
      <c r="N989" s="26"/>
    </row>
    <row r="990" spans="1:14">
      <c r="A990" s="26"/>
      <c r="B990" s="27"/>
      <c r="C990" s="26"/>
      <c r="D990" s="27"/>
      <c r="E990" s="26"/>
      <c r="F990" s="26"/>
      <c r="G990" s="28"/>
      <c r="H990" s="26"/>
      <c r="I990" s="26"/>
      <c r="J990" s="26"/>
      <c r="K990" s="34"/>
      <c r="L990" s="28"/>
      <c r="M990" s="28"/>
      <c r="N990" s="26"/>
    </row>
    <row r="991" spans="1:14">
      <c r="A991" s="26"/>
      <c r="B991" s="27"/>
      <c r="C991" s="26"/>
      <c r="D991" s="27"/>
      <c r="E991" s="26"/>
      <c r="F991" s="26"/>
      <c r="G991" s="28"/>
      <c r="H991" s="26"/>
      <c r="I991" s="26"/>
      <c r="J991" s="26"/>
      <c r="K991" s="34"/>
      <c r="L991" s="28"/>
      <c r="M991" s="28"/>
      <c r="N991" s="26"/>
    </row>
    <row r="992" spans="1:14">
      <c r="A992" s="26"/>
      <c r="B992" s="27"/>
      <c r="C992" s="26"/>
      <c r="D992" s="27"/>
      <c r="E992" s="26"/>
      <c r="F992" s="26"/>
      <c r="G992" s="28"/>
      <c r="H992" s="26"/>
      <c r="I992" s="26"/>
      <c r="J992" s="26"/>
      <c r="K992" s="34"/>
      <c r="L992" s="28"/>
      <c r="M992" s="28"/>
      <c r="N992" s="26"/>
    </row>
    <row r="993" spans="1:14">
      <c r="A993" s="26"/>
      <c r="B993" s="27"/>
      <c r="C993" s="26"/>
      <c r="D993" s="27"/>
      <c r="E993" s="26"/>
      <c r="F993" s="26"/>
      <c r="G993" s="28"/>
      <c r="H993" s="26"/>
      <c r="I993" s="26"/>
      <c r="J993" s="26"/>
      <c r="K993" s="34"/>
      <c r="L993" s="28"/>
      <c r="M993" s="28"/>
      <c r="N993" s="26"/>
    </row>
    <row r="994" spans="1:14">
      <c r="A994" s="26"/>
      <c r="B994" s="27"/>
      <c r="C994" s="26"/>
      <c r="D994" s="27"/>
      <c r="E994" s="26"/>
      <c r="F994" s="26"/>
      <c r="G994" s="28"/>
      <c r="H994" s="26"/>
      <c r="I994" s="26"/>
      <c r="J994" s="26"/>
      <c r="K994" s="34"/>
      <c r="L994" s="28"/>
      <c r="M994" s="28"/>
      <c r="N994" s="26"/>
    </row>
    <row r="995" spans="1:14">
      <c r="A995" s="26"/>
      <c r="B995" s="27"/>
      <c r="C995" s="26"/>
      <c r="D995" s="27"/>
      <c r="E995" s="26"/>
      <c r="F995" s="26"/>
      <c r="G995" s="28"/>
      <c r="H995" s="26"/>
      <c r="I995" s="26"/>
      <c r="J995" s="26"/>
      <c r="K995" s="34"/>
      <c r="L995" s="28"/>
      <c r="M995" s="28"/>
      <c r="N995" s="26"/>
    </row>
    <row r="996" spans="1:14">
      <c r="A996" s="26"/>
      <c r="B996" s="27"/>
      <c r="C996" s="26"/>
      <c r="D996" s="27"/>
      <c r="E996" s="26"/>
      <c r="F996" s="26"/>
      <c r="G996" s="28"/>
      <c r="H996" s="26"/>
      <c r="I996" s="26"/>
      <c r="J996" s="26"/>
      <c r="K996" s="34"/>
      <c r="L996" s="28"/>
      <c r="M996" s="28"/>
      <c r="N996" s="26"/>
    </row>
    <row r="997" spans="1:14">
      <c r="A997" s="26"/>
      <c r="B997" s="27"/>
      <c r="C997" s="26"/>
      <c r="D997" s="27"/>
      <c r="E997" s="26"/>
      <c r="F997" s="26"/>
      <c r="G997" s="28"/>
      <c r="H997" s="26"/>
      <c r="I997" s="26"/>
      <c r="J997" s="26"/>
      <c r="K997" s="34"/>
      <c r="L997" s="28"/>
      <c r="M997" s="28"/>
      <c r="N997" s="26"/>
    </row>
    <row r="998" spans="1:14">
      <c r="A998" s="26"/>
      <c r="B998" s="27"/>
      <c r="C998" s="26"/>
      <c r="D998" s="27"/>
      <c r="E998" s="26"/>
      <c r="F998" s="26"/>
      <c r="G998" s="28"/>
      <c r="H998" s="26"/>
      <c r="I998" s="26"/>
      <c r="J998" s="26"/>
      <c r="K998" s="34"/>
      <c r="L998" s="28"/>
      <c r="M998" s="28"/>
      <c r="N998" s="26"/>
    </row>
    <row r="999" spans="1:14">
      <c r="A999" s="26"/>
      <c r="B999" s="27"/>
      <c r="C999" s="26"/>
      <c r="D999" s="27"/>
      <c r="E999" s="26"/>
      <c r="F999" s="26"/>
      <c r="G999" s="28"/>
      <c r="H999" s="26"/>
      <c r="I999" s="26"/>
      <c r="J999" s="26"/>
      <c r="K999" s="34"/>
      <c r="L999" s="28"/>
      <c r="M999" s="28"/>
      <c r="N999" s="26"/>
    </row>
    <row r="1000" spans="1:14">
      <c r="A1000" s="26"/>
      <c r="B1000" s="27"/>
      <c r="C1000" s="26"/>
      <c r="D1000" s="27"/>
      <c r="E1000" s="26"/>
      <c r="F1000" s="26"/>
      <c r="G1000" s="28"/>
      <c r="H1000" s="26"/>
      <c r="I1000" s="26"/>
      <c r="J1000" s="26"/>
      <c r="K1000" s="34"/>
      <c r="L1000" s="28"/>
      <c r="M1000" s="28"/>
      <c r="N1000" s="26"/>
    </row>
    <row r="1001" spans="1:14">
      <c r="A1001" s="26"/>
      <c r="B1001" s="27"/>
      <c r="C1001" s="26"/>
      <c r="D1001" s="27"/>
      <c r="E1001" s="26"/>
      <c r="F1001" s="26"/>
      <c r="G1001" s="28"/>
      <c r="H1001" s="26"/>
      <c r="I1001" s="26"/>
      <c r="J1001" s="26"/>
      <c r="K1001" s="34"/>
      <c r="L1001" s="28"/>
      <c r="M1001" s="28"/>
      <c r="N1001" s="26"/>
    </row>
    <row r="1002" spans="1:14">
      <c r="A1002" s="26"/>
      <c r="B1002" s="27"/>
      <c r="C1002" s="26"/>
      <c r="D1002" s="27"/>
      <c r="E1002" s="26"/>
      <c r="F1002" s="26"/>
      <c r="G1002" s="28"/>
      <c r="H1002" s="26"/>
      <c r="I1002" s="26"/>
      <c r="J1002" s="26"/>
      <c r="K1002" s="34"/>
      <c r="L1002" s="28"/>
      <c r="M1002" s="28"/>
      <c r="N1002" s="26"/>
    </row>
    <row r="1003" spans="1:14">
      <c r="A1003" s="26"/>
      <c r="B1003" s="27"/>
      <c r="C1003" s="26"/>
      <c r="D1003" s="27"/>
      <c r="E1003" s="26"/>
      <c r="F1003" s="26"/>
      <c r="G1003" s="28"/>
      <c r="H1003" s="26"/>
      <c r="I1003" s="26"/>
      <c r="J1003" s="26"/>
      <c r="K1003" s="34"/>
      <c r="L1003" s="28"/>
      <c r="M1003" s="28"/>
      <c r="N1003" s="26"/>
    </row>
    <row r="1004" spans="1:14">
      <c r="A1004" s="26"/>
      <c r="B1004" s="27"/>
      <c r="C1004" s="26"/>
      <c r="D1004" s="27"/>
      <c r="E1004" s="26"/>
      <c r="F1004" s="26"/>
      <c r="G1004" s="28"/>
      <c r="H1004" s="26"/>
      <c r="I1004" s="26"/>
      <c r="J1004" s="26"/>
      <c r="K1004" s="34"/>
      <c r="L1004" s="28"/>
      <c r="M1004" s="28"/>
      <c r="N1004" s="26"/>
    </row>
    <row r="1005" spans="1:14">
      <c r="A1005" s="26"/>
      <c r="B1005" s="27"/>
      <c r="C1005" s="26"/>
      <c r="D1005" s="27"/>
      <c r="E1005" s="26"/>
      <c r="F1005" s="26"/>
      <c r="G1005" s="28"/>
      <c r="H1005" s="26"/>
      <c r="I1005" s="26"/>
      <c r="J1005" s="26"/>
      <c r="K1005" s="34"/>
      <c r="L1005" s="28"/>
      <c r="M1005" s="28"/>
      <c r="N1005" s="26"/>
    </row>
    <row r="1006" spans="1:14">
      <c r="A1006" s="26"/>
      <c r="B1006" s="27"/>
      <c r="C1006" s="26"/>
      <c r="D1006" s="27"/>
      <c r="E1006" s="26"/>
      <c r="F1006" s="26"/>
      <c r="G1006" s="28"/>
      <c r="H1006" s="26"/>
      <c r="I1006" s="26"/>
      <c r="J1006" s="26"/>
      <c r="K1006" s="34"/>
      <c r="L1006" s="28"/>
      <c r="M1006" s="28"/>
      <c r="N1006" s="26"/>
    </row>
    <row r="1007" spans="1:14">
      <c r="A1007" s="26"/>
      <c r="B1007" s="27"/>
      <c r="C1007" s="26"/>
      <c r="D1007" s="27"/>
      <c r="E1007" s="26"/>
      <c r="F1007" s="26"/>
      <c r="G1007" s="28"/>
      <c r="H1007" s="26"/>
      <c r="I1007" s="26"/>
      <c r="J1007" s="26"/>
      <c r="K1007" s="34"/>
      <c r="L1007" s="28"/>
      <c r="M1007" s="28"/>
      <c r="N1007" s="26"/>
    </row>
    <row r="1008" spans="1:14">
      <c r="A1008" s="26"/>
      <c r="B1008" s="27"/>
      <c r="C1008" s="26"/>
      <c r="D1008" s="27"/>
      <c r="E1008" s="26"/>
      <c r="F1008" s="26"/>
      <c r="G1008" s="28"/>
      <c r="H1008" s="26"/>
      <c r="I1008" s="26"/>
      <c r="J1008" s="26"/>
      <c r="K1008" s="34"/>
      <c r="L1008" s="28"/>
      <c r="M1008" s="28"/>
      <c r="N1008" s="26"/>
    </row>
    <row r="1009" spans="1:14">
      <c r="A1009" s="26"/>
      <c r="B1009" s="27"/>
      <c r="C1009" s="26"/>
      <c r="D1009" s="27"/>
      <c r="E1009" s="26"/>
      <c r="F1009" s="26"/>
      <c r="G1009" s="28"/>
      <c r="H1009" s="26"/>
      <c r="I1009" s="26"/>
      <c r="J1009" s="26"/>
      <c r="K1009" s="34"/>
      <c r="L1009" s="28"/>
      <c r="M1009" s="28"/>
      <c r="N1009" s="26"/>
    </row>
    <row r="1010" spans="1:14">
      <c r="A1010" s="26"/>
      <c r="B1010" s="27"/>
      <c r="C1010" s="26"/>
      <c r="D1010" s="27"/>
      <c r="E1010" s="26"/>
      <c r="F1010" s="26"/>
      <c r="G1010" s="28"/>
      <c r="H1010" s="26"/>
      <c r="I1010" s="26"/>
      <c r="J1010" s="26"/>
      <c r="K1010" s="34"/>
      <c r="L1010" s="28"/>
      <c r="M1010" s="28"/>
      <c r="N1010" s="26"/>
    </row>
    <row r="1011" spans="1:14">
      <c r="A1011" s="26"/>
      <c r="B1011" s="27"/>
      <c r="C1011" s="26"/>
      <c r="D1011" s="27"/>
      <c r="E1011" s="26"/>
      <c r="F1011" s="26"/>
      <c r="G1011" s="28"/>
      <c r="H1011" s="26"/>
      <c r="I1011" s="26"/>
      <c r="J1011" s="26"/>
      <c r="K1011" s="34"/>
      <c r="L1011" s="28"/>
      <c r="M1011" s="28"/>
      <c r="N1011" s="26"/>
    </row>
    <row r="1012" spans="1:14">
      <c r="A1012" s="26"/>
      <c r="B1012" s="27"/>
      <c r="C1012" s="26"/>
      <c r="D1012" s="27"/>
      <c r="E1012" s="26"/>
      <c r="F1012" s="26"/>
      <c r="G1012" s="28"/>
      <c r="H1012" s="26"/>
      <c r="I1012" s="26"/>
      <c r="J1012" s="26"/>
      <c r="K1012" s="34"/>
      <c r="L1012" s="28"/>
      <c r="M1012" s="28"/>
      <c r="N1012" s="26"/>
    </row>
    <row r="1013" spans="1:14">
      <c r="A1013" s="26"/>
      <c r="B1013" s="27"/>
      <c r="C1013" s="26"/>
      <c r="D1013" s="27"/>
      <c r="E1013" s="26"/>
      <c r="F1013" s="26"/>
      <c r="G1013" s="28"/>
      <c r="H1013" s="26"/>
      <c r="I1013" s="26"/>
      <c r="J1013" s="26"/>
      <c r="K1013" s="34"/>
      <c r="L1013" s="28"/>
      <c r="M1013" s="28"/>
      <c r="N1013" s="26"/>
    </row>
    <row r="1014" spans="1:14">
      <c r="A1014" s="26"/>
      <c r="B1014" s="27"/>
      <c r="C1014" s="26"/>
      <c r="D1014" s="27"/>
      <c r="E1014" s="26"/>
      <c r="F1014" s="26"/>
      <c r="G1014" s="28"/>
      <c r="H1014" s="26"/>
      <c r="I1014" s="26"/>
      <c r="J1014" s="26"/>
      <c r="K1014" s="34"/>
      <c r="L1014" s="28"/>
      <c r="M1014" s="28"/>
      <c r="N1014" s="26"/>
    </row>
    <row r="1015" spans="1:14">
      <c r="A1015" s="26"/>
      <c r="B1015" s="27"/>
      <c r="C1015" s="26"/>
      <c r="D1015" s="27"/>
      <c r="E1015" s="26"/>
      <c r="F1015" s="26"/>
      <c r="G1015" s="28"/>
      <c r="H1015" s="26"/>
      <c r="I1015" s="26"/>
      <c r="J1015" s="26"/>
      <c r="K1015" s="34"/>
      <c r="L1015" s="28"/>
      <c r="M1015" s="28"/>
      <c r="N1015" s="26"/>
    </row>
    <row r="1016" spans="1:14">
      <c r="A1016" s="26"/>
      <c r="B1016" s="27"/>
      <c r="C1016" s="26"/>
      <c r="D1016" s="27"/>
      <c r="E1016" s="26"/>
      <c r="F1016" s="26"/>
      <c r="G1016" s="28"/>
      <c r="H1016" s="26"/>
      <c r="I1016" s="26"/>
      <c r="J1016" s="26"/>
      <c r="K1016" s="34"/>
      <c r="L1016" s="28"/>
      <c r="M1016" s="28"/>
      <c r="N1016" s="26"/>
    </row>
    <row r="1017" spans="1:14">
      <c r="A1017" s="26"/>
      <c r="B1017" s="27"/>
      <c r="C1017" s="26"/>
      <c r="D1017" s="27"/>
      <c r="E1017" s="26"/>
      <c r="F1017" s="26"/>
      <c r="G1017" s="28"/>
      <c r="H1017" s="26"/>
      <c r="I1017" s="26"/>
      <c r="J1017" s="26"/>
      <c r="K1017" s="34"/>
      <c r="L1017" s="28"/>
      <c r="M1017" s="28"/>
      <c r="N1017" s="26"/>
    </row>
    <row r="1018" spans="1:14">
      <c r="A1018" s="26"/>
      <c r="B1018" s="27"/>
      <c r="C1018" s="26"/>
      <c r="D1018" s="27"/>
      <c r="E1018" s="26"/>
      <c r="F1018" s="26"/>
      <c r="G1018" s="28"/>
      <c r="H1018" s="26"/>
      <c r="I1018" s="26"/>
      <c r="J1018" s="26"/>
      <c r="K1018" s="34"/>
      <c r="L1018" s="28"/>
      <c r="M1018" s="28"/>
      <c r="N1018" s="26"/>
    </row>
    <row r="1019" spans="1:14">
      <c r="A1019" s="26"/>
      <c r="B1019" s="27"/>
      <c r="C1019" s="26"/>
      <c r="D1019" s="27"/>
      <c r="E1019" s="26"/>
      <c r="F1019" s="26"/>
      <c r="G1019" s="28"/>
      <c r="H1019" s="26"/>
      <c r="I1019" s="26"/>
      <c r="J1019" s="26"/>
      <c r="K1019" s="34"/>
      <c r="L1019" s="28"/>
      <c r="M1019" s="28"/>
      <c r="N1019" s="26"/>
    </row>
    <row r="1020" spans="1:14">
      <c r="A1020" s="26"/>
      <c r="B1020" s="27"/>
      <c r="C1020" s="26"/>
      <c r="D1020" s="27"/>
      <c r="E1020" s="26"/>
      <c r="F1020" s="26"/>
      <c r="G1020" s="28"/>
      <c r="H1020" s="26"/>
      <c r="I1020" s="26"/>
      <c r="J1020" s="26"/>
      <c r="K1020" s="34"/>
      <c r="L1020" s="28"/>
      <c r="M1020" s="28"/>
      <c r="N1020" s="26"/>
    </row>
    <row r="1021" spans="1:14">
      <c r="A1021" s="26"/>
      <c r="B1021" s="27"/>
      <c r="C1021" s="26"/>
      <c r="D1021" s="27"/>
      <c r="E1021" s="26"/>
      <c r="F1021" s="26"/>
      <c r="G1021" s="28"/>
      <c r="H1021" s="26"/>
      <c r="I1021" s="26"/>
      <c r="J1021" s="26"/>
      <c r="K1021" s="34"/>
      <c r="L1021" s="28"/>
      <c r="M1021" s="28"/>
      <c r="N1021" s="26"/>
    </row>
    <row r="1022" spans="1:14">
      <c r="A1022" s="26"/>
      <c r="B1022" s="27"/>
      <c r="C1022" s="26"/>
      <c r="D1022" s="27"/>
      <c r="E1022" s="26"/>
      <c r="F1022" s="26"/>
      <c r="G1022" s="28"/>
      <c r="H1022" s="26"/>
      <c r="I1022" s="26"/>
      <c r="J1022" s="26"/>
      <c r="K1022" s="34"/>
      <c r="L1022" s="28"/>
      <c r="M1022" s="28"/>
      <c r="N1022" s="26"/>
    </row>
    <row r="1023" spans="1:14">
      <c r="A1023" s="26"/>
      <c r="B1023" s="27"/>
      <c r="C1023" s="26"/>
      <c r="D1023" s="27"/>
      <c r="E1023" s="26"/>
      <c r="F1023" s="26"/>
      <c r="G1023" s="28"/>
      <c r="H1023" s="26"/>
      <c r="I1023" s="26"/>
      <c r="J1023" s="26"/>
      <c r="K1023" s="34"/>
      <c r="L1023" s="28"/>
      <c r="M1023" s="28"/>
      <c r="N1023" s="26"/>
    </row>
    <row r="1024" spans="1:14">
      <c r="A1024" s="26"/>
      <c r="B1024" s="27"/>
      <c r="C1024" s="26"/>
      <c r="D1024" s="27"/>
      <c r="E1024" s="26"/>
      <c r="F1024" s="26"/>
      <c r="G1024" s="28"/>
      <c r="H1024" s="26"/>
      <c r="I1024" s="26"/>
      <c r="J1024" s="26"/>
      <c r="K1024" s="34"/>
      <c r="L1024" s="28"/>
      <c r="M1024" s="28"/>
      <c r="N1024" s="26"/>
    </row>
    <row r="1025" spans="1:14">
      <c r="A1025" s="26"/>
      <c r="B1025" s="27"/>
      <c r="C1025" s="26"/>
      <c r="D1025" s="27"/>
      <c r="E1025" s="26"/>
      <c r="F1025" s="26"/>
      <c r="G1025" s="28"/>
      <c r="H1025" s="26"/>
      <c r="I1025" s="26"/>
      <c r="J1025" s="26"/>
      <c r="K1025" s="34"/>
      <c r="L1025" s="28"/>
      <c r="M1025" s="28"/>
      <c r="N1025" s="26"/>
    </row>
    <row r="1026" spans="1:14">
      <c r="A1026" s="26"/>
      <c r="B1026" s="27"/>
      <c r="C1026" s="26"/>
      <c r="D1026" s="27"/>
      <c r="E1026" s="26"/>
      <c r="F1026" s="26"/>
      <c r="G1026" s="28"/>
      <c r="H1026" s="26"/>
      <c r="I1026" s="26"/>
      <c r="J1026" s="26"/>
      <c r="K1026" s="34"/>
      <c r="L1026" s="28"/>
      <c r="M1026" s="28"/>
      <c r="N1026" s="26"/>
    </row>
    <row r="1027" spans="1:14">
      <c r="A1027" s="26"/>
      <c r="B1027" s="27"/>
      <c r="C1027" s="26"/>
      <c r="D1027" s="27"/>
      <c r="E1027" s="26"/>
      <c r="F1027" s="26"/>
      <c r="G1027" s="28"/>
      <c r="H1027" s="26"/>
      <c r="I1027" s="26"/>
      <c r="J1027" s="26"/>
      <c r="K1027" s="34"/>
      <c r="L1027" s="28"/>
      <c r="M1027" s="28"/>
      <c r="N1027" s="26"/>
    </row>
    <row r="1028" spans="1:14">
      <c r="A1028" s="26"/>
      <c r="B1028" s="27"/>
      <c r="C1028" s="26"/>
      <c r="D1028" s="27"/>
      <c r="E1028" s="26"/>
      <c r="F1028" s="26"/>
      <c r="G1028" s="28"/>
      <c r="H1028" s="26"/>
      <c r="I1028" s="26"/>
      <c r="J1028" s="26"/>
      <c r="K1028" s="34"/>
      <c r="L1028" s="28"/>
      <c r="M1028" s="28"/>
      <c r="N1028" s="26"/>
    </row>
    <row r="1029" spans="1:14">
      <c r="A1029" s="26"/>
      <c r="B1029" s="27"/>
      <c r="C1029" s="26"/>
      <c r="D1029" s="27"/>
      <c r="E1029" s="26"/>
      <c r="F1029" s="26"/>
      <c r="G1029" s="28"/>
      <c r="H1029" s="26"/>
      <c r="I1029" s="26"/>
      <c r="J1029" s="26"/>
      <c r="K1029" s="34"/>
      <c r="L1029" s="28"/>
      <c r="M1029" s="28"/>
      <c r="N1029" s="26"/>
    </row>
    <row r="1030" spans="1:14">
      <c r="A1030" s="26"/>
      <c r="B1030" s="27"/>
      <c r="C1030" s="26"/>
      <c r="D1030" s="27"/>
      <c r="E1030" s="26"/>
      <c r="F1030" s="26"/>
      <c r="G1030" s="28"/>
      <c r="H1030" s="26"/>
      <c r="I1030" s="26"/>
      <c r="J1030" s="26"/>
      <c r="K1030" s="34"/>
      <c r="L1030" s="28"/>
      <c r="M1030" s="28"/>
      <c r="N1030" s="26"/>
    </row>
    <row r="1031" spans="1:14">
      <c r="A1031" s="26"/>
      <c r="B1031" s="27"/>
      <c r="C1031" s="26"/>
      <c r="D1031" s="27"/>
      <c r="E1031" s="26"/>
      <c r="F1031" s="26"/>
      <c r="G1031" s="28"/>
      <c r="H1031" s="26"/>
      <c r="I1031" s="26"/>
      <c r="J1031" s="26"/>
      <c r="K1031" s="34"/>
      <c r="L1031" s="28"/>
      <c r="M1031" s="28"/>
      <c r="N1031" s="26"/>
    </row>
    <row r="1032" spans="1:14">
      <c r="A1032" s="26"/>
      <c r="B1032" s="27"/>
      <c r="C1032" s="26"/>
      <c r="D1032" s="27"/>
      <c r="E1032" s="26"/>
      <c r="F1032" s="26"/>
      <c r="G1032" s="28"/>
      <c r="H1032" s="26"/>
      <c r="I1032" s="26"/>
      <c r="J1032" s="26"/>
      <c r="K1032" s="34"/>
      <c r="L1032" s="28"/>
      <c r="M1032" s="28"/>
      <c r="N1032" s="26"/>
    </row>
    <row r="1033" spans="1:14">
      <c r="A1033" s="26"/>
      <c r="B1033" s="27"/>
      <c r="C1033" s="26"/>
      <c r="D1033" s="27"/>
      <c r="E1033" s="26"/>
      <c r="F1033" s="26"/>
      <c r="G1033" s="28"/>
      <c r="H1033" s="26"/>
      <c r="I1033" s="26"/>
      <c r="J1033" s="26"/>
      <c r="K1033" s="34"/>
      <c r="L1033" s="28"/>
      <c r="M1033" s="28"/>
      <c r="N1033" s="26"/>
    </row>
    <row r="1034" spans="1:14">
      <c r="A1034" s="26"/>
      <c r="B1034" s="27"/>
      <c r="C1034" s="26"/>
      <c r="D1034" s="27"/>
      <c r="E1034" s="26"/>
      <c r="F1034" s="26"/>
      <c r="G1034" s="28"/>
      <c r="H1034" s="26"/>
      <c r="I1034" s="26"/>
      <c r="J1034" s="26"/>
      <c r="K1034" s="34"/>
      <c r="L1034" s="28"/>
      <c r="M1034" s="28"/>
      <c r="N1034" s="26"/>
    </row>
    <row r="1035" spans="1:14">
      <c r="A1035" s="26"/>
      <c r="B1035" s="27"/>
      <c r="C1035" s="26"/>
      <c r="D1035" s="27"/>
      <c r="E1035" s="26"/>
      <c r="F1035" s="26"/>
      <c r="G1035" s="28"/>
      <c r="H1035" s="26"/>
      <c r="I1035" s="26"/>
      <c r="J1035" s="26"/>
      <c r="K1035" s="34"/>
      <c r="L1035" s="28"/>
      <c r="M1035" s="28"/>
      <c r="N1035" s="26"/>
    </row>
    <row r="1036" spans="1:14">
      <c r="A1036" s="26"/>
      <c r="B1036" s="27"/>
      <c r="C1036" s="26"/>
      <c r="D1036" s="27"/>
      <c r="E1036" s="26"/>
      <c r="F1036" s="26"/>
      <c r="G1036" s="28"/>
      <c r="H1036" s="26"/>
      <c r="I1036" s="26"/>
      <c r="J1036" s="26"/>
      <c r="K1036" s="34"/>
      <c r="L1036" s="28"/>
      <c r="M1036" s="28"/>
      <c r="N1036" s="26"/>
    </row>
    <row r="1037" spans="1:14">
      <c r="A1037" s="26"/>
      <c r="B1037" s="27"/>
      <c r="C1037" s="26"/>
      <c r="D1037" s="27"/>
      <c r="E1037" s="26"/>
      <c r="F1037" s="26"/>
      <c r="G1037" s="28"/>
      <c r="H1037" s="26"/>
      <c r="I1037" s="26"/>
      <c r="J1037" s="26"/>
      <c r="K1037" s="34"/>
      <c r="L1037" s="28"/>
      <c r="M1037" s="28"/>
      <c r="N1037" s="26"/>
    </row>
    <row r="1038" spans="1:14">
      <c r="A1038" s="26"/>
      <c r="B1038" s="27"/>
      <c r="C1038" s="26"/>
      <c r="D1038" s="27"/>
      <c r="E1038" s="26"/>
      <c r="F1038" s="26"/>
      <c r="G1038" s="28"/>
      <c r="H1038" s="26"/>
      <c r="I1038" s="26"/>
      <c r="J1038" s="26"/>
      <c r="K1038" s="34"/>
      <c r="L1038" s="28"/>
      <c r="M1038" s="28"/>
      <c r="N1038" s="26"/>
    </row>
    <row r="1039" spans="1:14">
      <c r="A1039" s="26"/>
      <c r="B1039" s="27"/>
      <c r="C1039" s="26"/>
      <c r="D1039" s="27"/>
      <c r="E1039" s="26"/>
      <c r="F1039" s="26"/>
      <c r="G1039" s="28"/>
      <c r="H1039" s="26"/>
      <c r="I1039" s="26"/>
      <c r="J1039" s="26"/>
      <c r="K1039" s="34"/>
      <c r="L1039" s="28"/>
      <c r="M1039" s="28"/>
      <c r="N1039" s="26"/>
    </row>
    <row r="1040" spans="1:14">
      <c r="A1040" s="26"/>
      <c r="B1040" s="27"/>
      <c r="C1040" s="26"/>
      <c r="D1040" s="27"/>
      <c r="E1040" s="26"/>
      <c r="F1040" s="26"/>
      <c r="G1040" s="28"/>
      <c r="H1040" s="26"/>
      <c r="I1040" s="26"/>
      <c r="J1040" s="26"/>
      <c r="K1040" s="34"/>
      <c r="L1040" s="28"/>
      <c r="M1040" s="28"/>
      <c r="N1040" s="26"/>
    </row>
    <row r="1041" spans="1:14">
      <c r="A1041" s="26"/>
      <c r="B1041" s="27"/>
      <c r="C1041" s="26"/>
      <c r="D1041" s="27"/>
      <c r="E1041" s="26"/>
      <c r="F1041" s="26"/>
      <c r="G1041" s="28"/>
      <c r="H1041" s="26"/>
      <c r="I1041" s="26"/>
      <c r="J1041" s="26"/>
      <c r="K1041" s="34"/>
      <c r="L1041" s="28"/>
      <c r="M1041" s="28"/>
      <c r="N1041" s="26"/>
    </row>
    <row r="1042" spans="1:14">
      <c r="A1042" s="26"/>
      <c r="B1042" s="27"/>
      <c r="C1042" s="26"/>
      <c r="D1042" s="27"/>
      <c r="E1042" s="26"/>
      <c r="F1042" s="26"/>
      <c r="G1042" s="28"/>
      <c r="H1042" s="26"/>
      <c r="I1042" s="26"/>
      <c r="J1042" s="26"/>
      <c r="K1042" s="34"/>
      <c r="L1042" s="28"/>
      <c r="M1042" s="28"/>
      <c r="N1042" s="26"/>
    </row>
    <row r="1043" spans="1:14">
      <c r="A1043" s="26"/>
      <c r="B1043" s="27"/>
      <c r="C1043" s="26"/>
      <c r="D1043" s="27"/>
      <c r="E1043" s="26"/>
      <c r="F1043" s="26"/>
      <c r="G1043" s="28"/>
      <c r="H1043" s="26"/>
      <c r="I1043" s="26"/>
      <c r="J1043" s="26"/>
      <c r="K1043" s="34"/>
      <c r="L1043" s="28"/>
      <c r="M1043" s="28"/>
      <c r="N1043" s="26"/>
    </row>
    <row r="1044" spans="1:14">
      <c r="A1044" s="26"/>
      <c r="B1044" s="27"/>
      <c r="C1044" s="26"/>
      <c r="D1044" s="27"/>
      <c r="E1044" s="26"/>
      <c r="F1044" s="26"/>
      <c r="G1044" s="28"/>
      <c r="H1044" s="26"/>
      <c r="I1044" s="26"/>
      <c r="J1044" s="26"/>
      <c r="K1044" s="34"/>
      <c r="L1044" s="28"/>
      <c r="M1044" s="28"/>
      <c r="N1044" s="26"/>
    </row>
    <row r="1045" spans="1:14">
      <c r="A1045" s="26"/>
      <c r="B1045" s="27"/>
      <c r="C1045" s="26"/>
      <c r="D1045" s="27"/>
      <c r="E1045" s="26"/>
      <c r="F1045" s="26"/>
      <c r="G1045" s="28"/>
      <c r="H1045" s="26"/>
      <c r="I1045" s="26"/>
      <c r="J1045" s="26"/>
      <c r="K1045" s="34"/>
      <c r="L1045" s="28"/>
      <c r="M1045" s="28"/>
      <c r="N1045" s="26"/>
    </row>
    <row r="1046" spans="1:14">
      <c r="A1046" s="26"/>
      <c r="B1046" s="27"/>
      <c r="C1046" s="26"/>
      <c r="D1046" s="27"/>
      <c r="E1046" s="26"/>
      <c r="F1046" s="26"/>
      <c r="G1046" s="28"/>
      <c r="H1046" s="26"/>
      <c r="I1046" s="26"/>
      <c r="J1046" s="26"/>
      <c r="K1046" s="34"/>
      <c r="L1046" s="28"/>
      <c r="M1046" s="28"/>
      <c r="N1046" s="26"/>
    </row>
    <row r="1047" spans="1:14">
      <c r="A1047" s="26"/>
      <c r="B1047" s="27"/>
      <c r="C1047" s="26"/>
      <c r="D1047" s="27"/>
      <c r="E1047" s="26"/>
      <c r="F1047" s="26"/>
      <c r="G1047" s="28"/>
      <c r="H1047" s="26"/>
      <c r="I1047" s="26"/>
      <c r="J1047" s="26"/>
      <c r="K1047" s="34"/>
      <c r="L1047" s="28"/>
      <c r="M1047" s="28"/>
      <c r="N1047" s="26"/>
    </row>
    <row r="1048" spans="1:14">
      <c r="A1048" s="26"/>
      <c r="B1048" s="27"/>
      <c r="C1048" s="26"/>
      <c r="D1048" s="27"/>
      <c r="E1048" s="26"/>
      <c r="F1048" s="26"/>
      <c r="G1048" s="28"/>
      <c r="H1048" s="26"/>
      <c r="I1048" s="26"/>
      <c r="J1048" s="26"/>
      <c r="K1048" s="34"/>
      <c r="L1048" s="28"/>
      <c r="M1048" s="28"/>
      <c r="N1048" s="26"/>
    </row>
    <row r="1049" spans="1:14">
      <c r="A1049" s="26"/>
      <c r="B1049" s="27"/>
      <c r="C1049" s="26"/>
      <c r="D1049" s="27"/>
      <c r="E1049" s="26"/>
      <c r="F1049" s="26"/>
      <c r="G1049" s="28"/>
      <c r="H1049" s="26"/>
      <c r="I1049" s="26"/>
      <c r="J1049" s="26"/>
      <c r="K1049" s="34"/>
      <c r="L1049" s="28"/>
      <c r="M1049" s="28"/>
      <c r="N1049" s="26"/>
    </row>
    <row r="1050" spans="1:14">
      <c r="A1050" s="26"/>
      <c r="B1050" s="27"/>
      <c r="C1050" s="26"/>
      <c r="D1050" s="27"/>
      <c r="E1050" s="26"/>
      <c r="F1050" s="26"/>
      <c r="G1050" s="28"/>
      <c r="H1050" s="26"/>
      <c r="I1050" s="26"/>
      <c r="J1050" s="26"/>
      <c r="K1050" s="34"/>
      <c r="L1050" s="28"/>
      <c r="M1050" s="28"/>
      <c r="N1050" s="26"/>
    </row>
    <row r="1051" spans="1:14">
      <c r="A1051" s="26"/>
      <c r="B1051" s="27"/>
      <c r="C1051" s="26"/>
      <c r="D1051" s="27"/>
      <c r="E1051" s="26"/>
      <c r="F1051" s="26"/>
      <c r="G1051" s="28"/>
      <c r="H1051" s="26"/>
      <c r="I1051" s="26"/>
      <c r="J1051" s="26"/>
      <c r="K1051" s="34"/>
      <c r="L1051" s="28"/>
      <c r="M1051" s="28"/>
      <c r="N1051" s="26"/>
    </row>
    <row r="1052" spans="1:14">
      <c r="A1052" s="26"/>
      <c r="B1052" s="27"/>
      <c r="C1052" s="26"/>
      <c r="D1052" s="27"/>
      <c r="E1052" s="26"/>
      <c r="F1052" s="26"/>
      <c r="G1052" s="28"/>
      <c r="H1052" s="26"/>
      <c r="I1052" s="26"/>
      <c r="J1052" s="26"/>
      <c r="K1052" s="34"/>
      <c r="L1052" s="28"/>
      <c r="M1052" s="28"/>
      <c r="N1052" s="26"/>
    </row>
    <row r="1053" spans="1:14">
      <c r="A1053" s="26"/>
      <c r="B1053" s="27"/>
      <c r="C1053" s="26"/>
      <c r="D1053" s="27"/>
      <c r="E1053" s="26"/>
      <c r="F1053" s="26"/>
      <c r="G1053" s="28"/>
      <c r="H1053" s="26"/>
      <c r="I1053" s="26"/>
      <c r="J1053" s="26"/>
      <c r="K1053" s="34"/>
      <c r="L1053" s="28"/>
      <c r="M1053" s="28"/>
      <c r="N1053" s="26"/>
    </row>
    <row r="1054" spans="1:14">
      <c r="A1054" s="26"/>
      <c r="B1054" s="27"/>
      <c r="C1054" s="26"/>
      <c r="D1054" s="27"/>
      <c r="E1054" s="26"/>
      <c r="F1054" s="26"/>
      <c r="G1054" s="28"/>
      <c r="H1054" s="26"/>
      <c r="I1054" s="26"/>
      <c r="J1054" s="26"/>
      <c r="K1054" s="34"/>
      <c r="L1054" s="28"/>
      <c r="M1054" s="28"/>
      <c r="N1054" s="26"/>
    </row>
    <row r="1055" spans="1:14">
      <c r="A1055" s="26"/>
      <c r="B1055" s="27"/>
      <c r="C1055" s="26"/>
      <c r="D1055" s="27"/>
      <c r="E1055" s="26"/>
      <c r="F1055" s="26"/>
      <c r="G1055" s="28"/>
      <c r="H1055" s="26"/>
      <c r="I1055" s="26"/>
      <c r="J1055" s="26"/>
      <c r="K1055" s="34"/>
      <c r="L1055" s="28"/>
      <c r="M1055" s="28"/>
      <c r="N1055" s="26"/>
    </row>
    <row r="1056" spans="1:14">
      <c r="A1056" s="26"/>
      <c r="B1056" s="27"/>
      <c r="C1056" s="26"/>
      <c r="D1056" s="27"/>
      <c r="E1056" s="26"/>
      <c r="F1056" s="26"/>
      <c r="G1056" s="28"/>
      <c r="H1056" s="26"/>
      <c r="I1056" s="26"/>
      <c r="J1056" s="26"/>
      <c r="K1056" s="34"/>
      <c r="L1056" s="28"/>
      <c r="M1056" s="28"/>
      <c r="N1056" s="26"/>
    </row>
    <row r="1057" spans="1:14">
      <c r="A1057" s="26"/>
      <c r="B1057" s="27"/>
      <c r="C1057" s="26"/>
      <c r="D1057" s="27"/>
      <c r="E1057" s="26"/>
      <c r="F1057" s="26"/>
      <c r="G1057" s="28"/>
      <c r="H1057" s="26"/>
      <c r="I1057" s="26"/>
      <c r="J1057" s="26"/>
      <c r="K1057" s="34"/>
      <c r="L1057" s="28"/>
      <c r="M1057" s="28"/>
      <c r="N1057" s="26"/>
    </row>
    <row r="1058" spans="1:14">
      <c r="A1058" s="26"/>
      <c r="B1058" s="27"/>
      <c r="C1058" s="26"/>
      <c r="D1058" s="27"/>
      <c r="E1058" s="26"/>
      <c r="F1058" s="26"/>
      <c r="G1058" s="28"/>
      <c r="H1058" s="26"/>
      <c r="I1058" s="26"/>
      <c r="J1058" s="26"/>
      <c r="K1058" s="34"/>
      <c r="L1058" s="28"/>
      <c r="M1058" s="28"/>
      <c r="N1058" s="26"/>
    </row>
    <row r="1059" spans="1:14">
      <c r="A1059" s="26"/>
      <c r="B1059" s="27"/>
      <c r="C1059" s="26"/>
      <c r="D1059" s="27"/>
      <c r="E1059" s="26"/>
      <c r="F1059" s="26"/>
      <c r="G1059" s="28"/>
      <c r="H1059" s="26"/>
      <c r="I1059" s="26"/>
      <c r="J1059" s="26"/>
      <c r="K1059" s="34"/>
      <c r="L1059" s="28"/>
      <c r="M1059" s="28"/>
      <c r="N1059" s="26"/>
    </row>
    <row r="1060" spans="1:14">
      <c r="A1060" s="26"/>
      <c r="B1060" s="27"/>
      <c r="C1060" s="26"/>
      <c r="D1060" s="27"/>
      <c r="E1060" s="26"/>
      <c r="F1060" s="26"/>
      <c r="G1060" s="28"/>
      <c r="H1060" s="26"/>
      <c r="I1060" s="26"/>
      <c r="J1060" s="26"/>
      <c r="K1060" s="34"/>
      <c r="L1060" s="28"/>
      <c r="M1060" s="28"/>
      <c r="N1060" s="26"/>
    </row>
    <row r="1061" spans="1:14">
      <c r="A1061" s="26"/>
      <c r="B1061" s="27"/>
      <c r="C1061" s="26"/>
      <c r="D1061" s="27"/>
      <c r="E1061" s="26"/>
      <c r="F1061" s="26"/>
      <c r="G1061" s="28"/>
      <c r="H1061" s="26"/>
      <c r="I1061" s="26"/>
      <c r="J1061" s="26"/>
      <c r="K1061" s="34"/>
      <c r="L1061" s="28"/>
      <c r="M1061" s="28"/>
      <c r="N1061" s="26"/>
    </row>
    <row r="1062" spans="1:14">
      <c r="A1062" s="26"/>
      <c r="B1062" s="27"/>
      <c r="C1062" s="26"/>
      <c r="D1062" s="27"/>
      <c r="E1062" s="26"/>
      <c r="F1062" s="26"/>
      <c r="G1062" s="28"/>
      <c r="H1062" s="26"/>
      <c r="I1062" s="26"/>
      <c r="J1062" s="26"/>
      <c r="K1062" s="34"/>
      <c r="L1062" s="28"/>
      <c r="M1062" s="28"/>
      <c r="N1062" s="26"/>
    </row>
    <row r="1063" spans="1:14">
      <c r="A1063" s="26"/>
      <c r="B1063" s="27"/>
      <c r="C1063" s="26"/>
      <c r="D1063" s="27"/>
      <c r="E1063" s="26"/>
      <c r="F1063" s="26"/>
      <c r="G1063" s="28"/>
      <c r="H1063" s="26"/>
      <c r="I1063" s="26"/>
      <c r="J1063" s="26"/>
      <c r="K1063" s="34"/>
      <c r="L1063" s="28"/>
      <c r="M1063" s="28"/>
      <c r="N1063" s="26"/>
    </row>
    <row r="1064" spans="1:14">
      <c r="A1064" s="26"/>
      <c r="B1064" s="27"/>
      <c r="C1064" s="26"/>
      <c r="D1064" s="27"/>
      <c r="E1064" s="26"/>
      <c r="F1064" s="26"/>
      <c r="G1064" s="28"/>
      <c r="H1064" s="26"/>
      <c r="I1064" s="26"/>
      <c r="J1064" s="26"/>
      <c r="K1064" s="34"/>
      <c r="L1064" s="28"/>
      <c r="M1064" s="28"/>
      <c r="N1064" s="26"/>
    </row>
    <row r="1065" spans="1:14">
      <c r="A1065" s="26"/>
      <c r="B1065" s="27"/>
      <c r="C1065" s="26"/>
      <c r="D1065" s="27"/>
      <c r="E1065" s="26"/>
      <c r="F1065" s="26"/>
      <c r="G1065" s="28"/>
      <c r="H1065" s="26"/>
      <c r="I1065" s="26"/>
      <c r="J1065" s="26"/>
      <c r="K1065" s="34"/>
      <c r="L1065" s="28"/>
      <c r="M1065" s="28"/>
      <c r="N1065" s="26"/>
    </row>
    <row r="1066" spans="1:14">
      <c r="A1066" s="26"/>
      <c r="B1066" s="27"/>
      <c r="C1066" s="26"/>
      <c r="D1066" s="27"/>
      <c r="E1066" s="26"/>
      <c r="F1066" s="26"/>
      <c r="G1066" s="28"/>
      <c r="H1066" s="26"/>
      <c r="I1066" s="26"/>
      <c r="J1066" s="26"/>
      <c r="K1066" s="34"/>
      <c r="L1066" s="28"/>
      <c r="M1066" s="28"/>
      <c r="N1066" s="26"/>
    </row>
    <row r="1067" spans="1:14">
      <c r="A1067" s="26"/>
      <c r="B1067" s="27"/>
      <c r="C1067" s="26"/>
      <c r="D1067" s="27"/>
      <c r="E1067" s="26"/>
      <c r="F1067" s="26"/>
      <c r="G1067" s="28"/>
      <c r="H1067" s="26"/>
      <c r="I1067" s="26"/>
      <c r="J1067" s="26"/>
      <c r="K1067" s="34"/>
      <c r="L1067" s="28"/>
      <c r="M1067" s="28"/>
      <c r="N1067" s="26"/>
    </row>
    <row r="1068" spans="1:14">
      <c r="A1068" s="26"/>
      <c r="B1068" s="27"/>
      <c r="C1068" s="26"/>
      <c r="D1068" s="27"/>
      <c r="E1068" s="26"/>
      <c r="F1068" s="26"/>
      <c r="G1068" s="28"/>
      <c r="H1068" s="26"/>
      <c r="I1068" s="26"/>
      <c r="J1068" s="26"/>
      <c r="K1068" s="34"/>
      <c r="L1068" s="28"/>
      <c r="M1068" s="28"/>
      <c r="N1068" s="26"/>
    </row>
    <row r="1069" spans="1:14">
      <c r="A1069" s="26"/>
      <c r="B1069" s="27"/>
      <c r="C1069" s="26"/>
      <c r="D1069" s="27"/>
      <c r="E1069" s="26"/>
      <c r="F1069" s="26"/>
      <c r="G1069" s="28"/>
      <c r="H1069" s="26"/>
      <c r="I1069" s="26"/>
      <c r="J1069" s="26"/>
      <c r="K1069" s="34"/>
      <c r="L1069" s="28"/>
      <c r="M1069" s="28"/>
      <c r="N1069" s="26"/>
    </row>
    <row r="1070" spans="1:14">
      <c r="A1070" s="26"/>
      <c r="B1070" s="27"/>
      <c r="C1070" s="26"/>
      <c r="D1070" s="27"/>
      <c r="E1070" s="26"/>
      <c r="F1070" s="26"/>
      <c r="G1070" s="28"/>
      <c r="H1070" s="26"/>
      <c r="I1070" s="26"/>
      <c r="J1070" s="26"/>
      <c r="K1070" s="34"/>
      <c r="L1070" s="28"/>
      <c r="M1070" s="28"/>
      <c r="N1070" s="26"/>
    </row>
    <row r="1071" spans="1:14">
      <c r="A1071" s="26"/>
      <c r="B1071" s="27"/>
      <c r="C1071" s="26"/>
      <c r="D1071" s="27"/>
      <c r="E1071" s="26"/>
      <c r="F1071" s="26"/>
      <c r="G1071" s="28"/>
      <c r="H1071" s="26"/>
      <c r="I1071" s="26"/>
      <c r="J1071" s="26"/>
      <c r="K1071" s="34"/>
      <c r="L1071" s="28"/>
      <c r="M1071" s="28"/>
      <c r="N1071" s="26"/>
    </row>
    <row r="1072" spans="1:14">
      <c r="A1072" s="26"/>
      <c r="B1072" s="27"/>
      <c r="C1072" s="26"/>
      <c r="D1072" s="27"/>
      <c r="E1072" s="26"/>
      <c r="F1072" s="26"/>
      <c r="G1072" s="28"/>
      <c r="H1072" s="26"/>
      <c r="I1072" s="26"/>
      <c r="J1072" s="26"/>
      <c r="K1072" s="34"/>
      <c r="L1072" s="28"/>
      <c r="M1072" s="28"/>
      <c r="N1072" s="26"/>
    </row>
    <row r="1073" spans="1:14">
      <c r="A1073" s="26"/>
      <c r="B1073" s="27"/>
      <c r="C1073" s="26"/>
      <c r="D1073" s="27"/>
      <c r="E1073" s="26"/>
      <c r="F1073" s="26"/>
      <c r="G1073" s="28"/>
      <c r="H1073" s="26"/>
      <c r="I1073" s="26"/>
      <c r="J1073" s="26"/>
      <c r="K1073" s="34"/>
      <c r="L1073" s="28"/>
      <c r="M1073" s="28"/>
      <c r="N1073" s="26"/>
    </row>
    <row r="1074" spans="1:14">
      <c r="A1074" s="26"/>
      <c r="B1074" s="27"/>
      <c r="C1074" s="26"/>
      <c r="D1074" s="27"/>
      <c r="E1074" s="26"/>
      <c r="F1074" s="26"/>
      <c r="G1074" s="28"/>
      <c r="H1074" s="26"/>
      <c r="I1074" s="26"/>
      <c r="J1074" s="26"/>
      <c r="K1074" s="34"/>
      <c r="L1074" s="28"/>
      <c r="M1074" s="28"/>
      <c r="N1074" s="26"/>
    </row>
    <row r="1075" spans="1:14">
      <c r="A1075" s="26"/>
      <c r="B1075" s="27"/>
      <c r="C1075" s="26"/>
      <c r="D1075" s="27"/>
      <c r="E1075" s="26"/>
      <c r="F1075" s="26"/>
      <c r="G1075" s="28"/>
      <c r="H1075" s="26"/>
      <c r="I1075" s="26"/>
      <c r="J1075" s="26"/>
      <c r="K1075" s="34"/>
      <c r="L1075" s="28"/>
      <c r="M1075" s="28"/>
      <c r="N1075" s="26"/>
    </row>
    <row r="1076" spans="1:14">
      <c r="A1076" s="26"/>
      <c r="B1076" s="27"/>
      <c r="C1076" s="26"/>
      <c r="D1076" s="27"/>
      <c r="E1076" s="26"/>
      <c r="F1076" s="26"/>
      <c r="G1076" s="28"/>
      <c r="H1076" s="26"/>
      <c r="I1076" s="26"/>
      <c r="J1076" s="26"/>
      <c r="K1076" s="34"/>
      <c r="L1076" s="28"/>
      <c r="M1076" s="28"/>
      <c r="N1076" s="26"/>
    </row>
    <row r="1077" spans="1:14">
      <c r="A1077" s="26"/>
      <c r="B1077" s="27"/>
      <c r="C1077" s="26"/>
      <c r="D1077" s="27"/>
      <c r="E1077" s="26"/>
      <c r="F1077" s="26"/>
      <c r="G1077" s="28"/>
      <c r="H1077" s="26"/>
      <c r="I1077" s="26"/>
      <c r="J1077" s="26"/>
      <c r="K1077" s="34"/>
      <c r="L1077" s="28"/>
      <c r="M1077" s="28"/>
      <c r="N1077" s="26"/>
    </row>
    <row r="1078" spans="1:14">
      <c r="A1078" s="26"/>
      <c r="B1078" s="27"/>
      <c r="C1078" s="26"/>
      <c r="D1078" s="27"/>
      <c r="E1078" s="26"/>
      <c r="F1078" s="26"/>
      <c r="G1078" s="28"/>
      <c r="H1078" s="26"/>
      <c r="I1078" s="26"/>
      <c r="J1078" s="26"/>
      <c r="K1078" s="34"/>
      <c r="L1078" s="28"/>
      <c r="M1078" s="28"/>
      <c r="N1078" s="26"/>
    </row>
    <row r="1079" spans="1:14">
      <c r="A1079" s="26"/>
      <c r="B1079" s="27"/>
      <c r="C1079" s="26"/>
      <c r="D1079" s="27"/>
      <c r="E1079" s="26"/>
      <c r="F1079" s="26"/>
      <c r="G1079" s="28"/>
      <c r="H1079" s="26"/>
      <c r="I1079" s="26"/>
      <c r="J1079" s="26"/>
      <c r="K1079" s="34"/>
      <c r="L1079" s="28"/>
      <c r="M1079" s="28"/>
      <c r="N1079" s="26"/>
    </row>
    <row r="1080" spans="1:14">
      <c r="A1080" s="26"/>
      <c r="B1080" s="27"/>
      <c r="C1080" s="26"/>
      <c r="D1080" s="27"/>
      <c r="E1080" s="26"/>
      <c r="F1080" s="26"/>
      <c r="G1080" s="28"/>
      <c r="H1080" s="26"/>
      <c r="I1080" s="26"/>
      <c r="J1080" s="26"/>
      <c r="K1080" s="34"/>
      <c r="L1080" s="28"/>
      <c r="M1080" s="28"/>
      <c r="N1080" s="26"/>
    </row>
    <row r="1081" spans="1:14">
      <c r="A1081" s="26"/>
      <c r="B1081" s="27"/>
      <c r="C1081" s="26"/>
      <c r="D1081" s="27"/>
      <c r="E1081" s="26"/>
      <c r="F1081" s="26"/>
      <c r="G1081" s="28"/>
      <c r="H1081" s="26"/>
      <c r="I1081" s="26"/>
      <c r="J1081" s="26"/>
      <c r="K1081" s="34"/>
      <c r="L1081" s="28"/>
      <c r="M1081" s="28"/>
      <c r="N1081" s="26"/>
    </row>
    <row r="1082" spans="1:14">
      <c r="A1082" s="26"/>
      <c r="B1082" s="27"/>
      <c r="C1082" s="26"/>
      <c r="D1082" s="27"/>
      <c r="E1082" s="26"/>
      <c r="F1082" s="26"/>
      <c r="G1082" s="28"/>
      <c r="H1082" s="26"/>
      <c r="I1082" s="26"/>
      <c r="J1082" s="26"/>
      <c r="K1082" s="34"/>
      <c r="L1082" s="28"/>
      <c r="M1082" s="28"/>
      <c r="N1082" s="26"/>
    </row>
    <row r="1083" spans="1:14">
      <c r="A1083" s="26"/>
      <c r="B1083" s="27"/>
      <c r="C1083" s="26"/>
      <c r="D1083" s="27"/>
      <c r="E1083" s="26"/>
      <c r="F1083" s="26"/>
      <c r="G1083" s="28"/>
      <c r="H1083" s="26"/>
      <c r="I1083" s="26"/>
      <c r="J1083" s="26"/>
      <c r="K1083" s="34"/>
      <c r="L1083" s="28"/>
      <c r="M1083" s="28"/>
      <c r="N1083" s="26"/>
    </row>
    <row r="1084" spans="1:14">
      <c r="A1084" s="26"/>
      <c r="B1084" s="27"/>
      <c r="C1084" s="26"/>
      <c r="D1084" s="27"/>
      <c r="E1084" s="26"/>
      <c r="F1084" s="26"/>
      <c r="G1084" s="28"/>
      <c r="H1084" s="26"/>
      <c r="I1084" s="26"/>
      <c r="J1084" s="26"/>
      <c r="K1084" s="34"/>
      <c r="L1084" s="28"/>
      <c r="M1084" s="28"/>
      <c r="N1084" s="26"/>
    </row>
    <row r="1085" spans="1:14">
      <c r="A1085" s="26"/>
      <c r="B1085" s="27"/>
      <c r="C1085" s="26"/>
      <c r="D1085" s="27"/>
      <c r="E1085" s="26"/>
      <c r="F1085" s="26"/>
      <c r="G1085" s="28"/>
      <c r="H1085" s="26"/>
      <c r="I1085" s="26"/>
      <c r="J1085" s="26"/>
      <c r="K1085" s="34"/>
      <c r="L1085" s="28"/>
      <c r="M1085" s="28"/>
      <c r="N1085" s="26"/>
    </row>
    <row r="1086" spans="1:14">
      <c r="A1086" s="26"/>
      <c r="B1086" s="27"/>
      <c r="C1086" s="26"/>
      <c r="D1086" s="27"/>
      <c r="E1086" s="26"/>
      <c r="F1086" s="26"/>
      <c r="G1086" s="28"/>
      <c r="H1086" s="26"/>
      <c r="I1086" s="26"/>
      <c r="J1086" s="26"/>
      <c r="K1086" s="34"/>
      <c r="L1086" s="28"/>
      <c r="M1086" s="28"/>
      <c r="N1086" s="26"/>
    </row>
    <row r="1087" spans="1:14">
      <c r="A1087" s="26"/>
      <c r="B1087" s="27"/>
      <c r="C1087" s="26"/>
      <c r="D1087" s="27"/>
      <c r="E1087" s="26"/>
      <c r="F1087" s="26"/>
      <c r="G1087" s="28"/>
      <c r="H1087" s="26"/>
      <c r="I1087" s="26"/>
      <c r="J1087" s="26"/>
      <c r="K1087" s="34"/>
      <c r="L1087" s="28"/>
      <c r="M1087" s="28"/>
      <c r="N1087" s="26"/>
    </row>
    <row r="1088" spans="1:14">
      <c r="A1088" s="26"/>
      <c r="B1088" s="27"/>
      <c r="C1088" s="26"/>
      <c r="D1088" s="27"/>
      <c r="E1088" s="26"/>
      <c r="F1088" s="26"/>
      <c r="G1088" s="28"/>
      <c r="H1088" s="26"/>
      <c r="I1088" s="26"/>
      <c r="J1088" s="26"/>
      <c r="K1088" s="34"/>
      <c r="L1088" s="28"/>
      <c r="M1088" s="28"/>
      <c r="N1088" s="26"/>
    </row>
    <row r="1089" spans="1:14">
      <c r="A1089" s="26"/>
      <c r="B1089" s="27"/>
      <c r="C1089" s="26"/>
      <c r="D1089" s="27"/>
      <c r="E1089" s="26"/>
      <c r="F1089" s="26"/>
      <c r="G1089" s="28"/>
      <c r="H1089" s="26"/>
      <c r="I1089" s="26"/>
      <c r="J1089" s="26"/>
      <c r="K1089" s="34"/>
      <c r="L1089" s="28"/>
      <c r="M1089" s="28"/>
      <c r="N1089" s="26"/>
    </row>
    <row r="1090" spans="1:14">
      <c r="A1090" s="26"/>
      <c r="B1090" s="27"/>
      <c r="C1090" s="26"/>
      <c r="D1090" s="27"/>
      <c r="E1090" s="26"/>
      <c r="F1090" s="26"/>
      <c r="G1090" s="28"/>
      <c r="H1090" s="26"/>
      <c r="I1090" s="26"/>
      <c r="J1090" s="26"/>
      <c r="K1090" s="34"/>
      <c r="L1090" s="28"/>
      <c r="M1090" s="28"/>
      <c r="N1090" s="26"/>
    </row>
    <row r="1091" spans="1:14">
      <c r="A1091" s="26"/>
      <c r="B1091" s="27"/>
      <c r="C1091" s="26"/>
      <c r="D1091" s="27"/>
      <c r="E1091" s="26"/>
      <c r="F1091" s="26"/>
      <c r="G1091" s="28"/>
      <c r="H1091" s="26"/>
      <c r="I1091" s="26"/>
      <c r="J1091" s="26"/>
      <c r="K1091" s="34"/>
      <c r="L1091" s="28"/>
      <c r="M1091" s="28"/>
      <c r="N1091" s="26"/>
    </row>
    <row r="1092" spans="1:14">
      <c r="A1092" s="26"/>
      <c r="B1092" s="27"/>
      <c r="C1092" s="26"/>
      <c r="D1092" s="27"/>
      <c r="E1092" s="26"/>
      <c r="F1092" s="26"/>
      <c r="G1092" s="28"/>
      <c r="H1092" s="26"/>
      <c r="I1092" s="26"/>
      <c r="J1092" s="26"/>
      <c r="K1092" s="34"/>
      <c r="L1092" s="28"/>
      <c r="M1092" s="28"/>
      <c r="N1092" s="26"/>
    </row>
    <row r="1093" spans="1:14">
      <c r="A1093" s="26"/>
      <c r="B1093" s="27"/>
      <c r="C1093" s="26"/>
      <c r="D1093" s="27"/>
      <c r="E1093" s="26"/>
      <c r="F1093" s="26"/>
      <c r="G1093" s="28"/>
      <c r="H1093" s="26"/>
      <c r="I1093" s="26"/>
      <c r="J1093" s="26"/>
      <c r="K1093" s="34"/>
      <c r="L1093" s="28"/>
      <c r="M1093" s="28"/>
      <c r="N1093" s="26"/>
    </row>
    <row r="1094" spans="1:14">
      <c r="A1094" s="26"/>
      <c r="B1094" s="27"/>
      <c r="C1094" s="26"/>
      <c r="D1094" s="27"/>
      <c r="E1094" s="26"/>
      <c r="F1094" s="26"/>
      <c r="G1094" s="28"/>
      <c r="H1094" s="26"/>
      <c r="I1094" s="26"/>
      <c r="J1094" s="26"/>
      <c r="K1094" s="34"/>
      <c r="L1094" s="28"/>
      <c r="M1094" s="28"/>
      <c r="N1094" s="26"/>
    </row>
    <row r="1095" spans="1:14">
      <c r="A1095" s="26"/>
      <c r="B1095" s="27"/>
      <c r="C1095" s="26"/>
      <c r="D1095" s="27"/>
      <c r="E1095" s="26"/>
      <c r="F1095" s="26"/>
      <c r="G1095" s="28"/>
      <c r="H1095" s="26"/>
      <c r="I1095" s="26"/>
      <c r="J1095" s="26"/>
      <c r="K1095" s="34"/>
      <c r="L1095" s="28"/>
      <c r="M1095" s="28"/>
      <c r="N1095" s="26"/>
    </row>
    <row r="1096" spans="1:14">
      <c r="A1096" s="26"/>
      <c r="B1096" s="27"/>
      <c r="C1096" s="26"/>
      <c r="D1096" s="27"/>
      <c r="E1096" s="26"/>
      <c r="F1096" s="26"/>
      <c r="G1096" s="28"/>
      <c r="H1096" s="26"/>
      <c r="I1096" s="26"/>
      <c r="J1096" s="26"/>
      <c r="K1096" s="34"/>
      <c r="L1096" s="28"/>
      <c r="M1096" s="28"/>
      <c r="N1096" s="26"/>
    </row>
    <row r="1097" spans="1:14">
      <c r="A1097" s="26"/>
      <c r="B1097" s="27"/>
      <c r="C1097" s="26"/>
      <c r="D1097" s="27"/>
      <c r="E1097" s="26"/>
      <c r="F1097" s="26"/>
      <c r="G1097" s="28"/>
      <c r="H1097" s="26"/>
      <c r="I1097" s="26"/>
      <c r="J1097" s="26"/>
      <c r="K1097" s="34"/>
      <c r="L1097" s="28"/>
      <c r="M1097" s="28"/>
      <c r="N1097" s="26"/>
    </row>
    <row r="1098" spans="1:14">
      <c r="A1098" s="26"/>
      <c r="B1098" s="27"/>
      <c r="C1098" s="26"/>
      <c r="D1098" s="27"/>
      <c r="E1098" s="26"/>
      <c r="F1098" s="26"/>
      <c r="G1098" s="28"/>
      <c r="H1098" s="26"/>
      <c r="I1098" s="26"/>
      <c r="J1098" s="26"/>
      <c r="K1098" s="34"/>
      <c r="L1098" s="28"/>
      <c r="M1098" s="28"/>
      <c r="N1098" s="26"/>
    </row>
    <row r="1099" spans="1:14">
      <c r="A1099" s="26"/>
      <c r="B1099" s="27"/>
      <c r="C1099" s="26"/>
      <c r="D1099" s="27"/>
      <c r="E1099" s="26"/>
      <c r="F1099" s="26"/>
      <c r="G1099" s="28"/>
      <c r="H1099" s="26"/>
      <c r="I1099" s="26"/>
      <c r="J1099" s="26"/>
      <c r="K1099" s="34"/>
      <c r="L1099" s="28"/>
      <c r="M1099" s="28"/>
      <c r="N1099" s="26"/>
    </row>
    <row r="1100" spans="1:14">
      <c r="A1100" s="26"/>
      <c r="B1100" s="27"/>
      <c r="C1100" s="26"/>
      <c r="D1100" s="27"/>
      <c r="E1100" s="26"/>
      <c r="F1100" s="26"/>
      <c r="G1100" s="28"/>
      <c r="H1100" s="26"/>
      <c r="I1100" s="26"/>
      <c r="J1100" s="26"/>
      <c r="K1100" s="34"/>
      <c r="L1100" s="28"/>
      <c r="M1100" s="28"/>
      <c r="N1100" s="26"/>
    </row>
    <row r="1101" spans="1:14">
      <c r="A1101" s="26"/>
      <c r="B1101" s="27"/>
      <c r="C1101" s="26"/>
      <c r="D1101" s="27"/>
      <c r="E1101" s="26"/>
      <c r="F1101" s="26"/>
      <c r="G1101" s="28"/>
      <c r="H1101" s="26"/>
      <c r="I1101" s="26"/>
      <c r="J1101" s="26"/>
      <c r="K1101" s="34"/>
      <c r="L1101" s="28"/>
      <c r="M1101" s="28"/>
      <c r="N1101" s="26"/>
    </row>
    <row r="1102" spans="1:14">
      <c r="A1102" s="26"/>
      <c r="B1102" s="27"/>
      <c r="C1102" s="26"/>
      <c r="D1102" s="27"/>
      <c r="E1102" s="26"/>
      <c r="F1102" s="26"/>
      <c r="G1102" s="28"/>
      <c r="H1102" s="26"/>
      <c r="I1102" s="26"/>
      <c r="J1102" s="26"/>
      <c r="K1102" s="34"/>
      <c r="L1102" s="28"/>
      <c r="M1102" s="28"/>
      <c r="N1102" s="26"/>
    </row>
    <row r="1103" spans="1:14">
      <c r="A1103" s="26"/>
      <c r="B1103" s="27"/>
      <c r="C1103" s="26"/>
      <c r="D1103" s="27"/>
      <c r="E1103" s="26"/>
      <c r="F1103" s="26"/>
      <c r="G1103" s="28"/>
      <c r="H1103" s="26"/>
      <c r="I1103" s="26"/>
      <c r="J1103" s="26"/>
      <c r="K1103" s="34"/>
      <c r="L1103" s="28"/>
      <c r="M1103" s="28"/>
      <c r="N1103" s="26"/>
    </row>
    <row r="1104" spans="1:14">
      <c r="A1104" s="26"/>
      <c r="B1104" s="27"/>
      <c r="C1104" s="26"/>
      <c r="D1104" s="27"/>
      <c r="E1104" s="26"/>
      <c r="F1104" s="26"/>
      <c r="G1104" s="28"/>
      <c r="H1104" s="26"/>
      <c r="I1104" s="26"/>
      <c r="J1104" s="26"/>
      <c r="K1104" s="34"/>
      <c r="L1104" s="28"/>
      <c r="M1104" s="28"/>
      <c r="N1104" s="26"/>
    </row>
    <row r="1105" spans="1:14">
      <c r="A1105" s="26"/>
      <c r="B1105" s="27"/>
      <c r="C1105" s="26"/>
      <c r="D1105" s="27"/>
      <c r="E1105" s="26"/>
      <c r="F1105" s="26"/>
      <c r="G1105" s="28"/>
      <c r="H1105" s="26"/>
      <c r="I1105" s="26"/>
      <c r="J1105" s="26"/>
      <c r="K1105" s="34"/>
      <c r="L1105" s="28"/>
      <c r="M1105" s="28"/>
      <c r="N1105" s="26"/>
    </row>
    <row r="1106" spans="1:14">
      <c r="A1106" s="26"/>
      <c r="B1106" s="27"/>
      <c r="C1106" s="26"/>
      <c r="D1106" s="27"/>
      <c r="E1106" s="26"/>
      <c r="F1106" s="26"/>
      <c r="G1106" s="28"/>
      <c r="H1106" s="26"/>
      <c r="I1106" s="26"/>
      <c r="J1106" s="26"/>
      <c r="K1106" s="34"/>
      <c r="L1106" s="28"/>
      <c r="M1106" s="28"/>
      <c r="N1106" s="26"/>
    </row>
    <row r="1107" spans="1:14">
      <c r="A1107" s="26"/>
      <c r="B1107" s="27"/>
      <c r="C1107" s="26"/>
      <c r="D1107" s="27"/>
      <c r="E1107" s="26"/>
      <c r="F1107" s="26"/>
      <c r="G1107" s="28"/>
      <c r="H1107" s="26"/>
      <c r="I1107" s="26"/>
      <c r="J1107" s="26"/>
      <c r="K1107" s="34"/>
      <c r="L1107" s="28"/>
      <c r="M1107" s="28"/>
      <c r="N1107" s="26"/>
    </row>
    <row r="1108" spans="1:14">
      <c r="A1108" s="26"/>
      <c r="B1108" s="27"/>
      <c r="C1108" s="26"/>
      <c r="D1108" s="27"/>
      <c r="E1108" s="26"/>
      <c r="F1108" s="26"/>
      <c r="G1108" s="28"/>
      <c r="H1108" s="26"/>
      <c r="I1108" s="26"/>
      <c r="J1108" s="26"/>
      <c r="K1108" s="34"/>
      <c r="L1108" s="28"/>
      <c r="M1108" s="28"/>
      <c r="N1108" s="26"/>
    </row>
    <row r="1109" spans="1:14">
      <c r="A1109" s="26"/>
      <c r="B1109" s="27"/>
      <c r="C1109" s="26"/>
      <c r="D1109" s="27"/>
      <c r="E1109" s="26"/>
      <c r="F1109" s="26"/>
      <c r="G1109" s="28"/>
      <c r="H1109" s="26"/>
      <c r="I1109" s="26"/>
      <c r="J1109" s="26"/>
      <c r="K1109" s="34"/>
      <c r="L1109" s="28"/>
      <c r="M1109" s="28"/>
      <c r="N1109" s="26"/>
    </row>
    <row r="1110" spans="1:14">
      <c r="A1110" s="26"/>
      <c r="B1110" s="27"/>
      <c r="C1110" s="26"/>
      <c r="D1110" s="27"/>
      <c r="E1110" s="26"/>
      <c r="F1110" s="26"/>
      <c r="G1110" s="28"/>
      <c r="H1110" s="26"/>
      <c r="I1110" s="26"/>
      <c r="J1110" s="26"/>
      <c r="K1110" s="34"/>
      <c r="L1110" s="28"/>
      <c r="M1110" s="28"/>
      <c r="N1110" s="26"/>
    </row>
    <row r="1111" spans="1:14">
      <c r="A1111" s="26"/>
      <c r="B1111" s="27"/>
      <c r="C1111" s="26"/>
      <c r="D1111" s="27"/>
      <c r="E1111" s="26"/>
      <c r="F1111" s="26"/>
      <c r="G1111" s="28"/>
      <c r="H1111" s="26"/>
      <c r="I1111" s="26"/>
      <c r="J1111" s="26"/>
      <c r="K1111" s="34"/>
      <c r="L1111" s="28"/>
      <c r="M1111" s="28"/>
      <c r="N1111" s="26"/>
    </row>
    <row r="1112" spans="1:14">
      <c r="A1112" s="26"/>
      <c r="B1112" s="27"/>
      <c r="C1112" s="26"/>
      <c r="D1112" s="27"/>
      <c r="E1112" s="26"/>
      <c r="F1112" s="26"/>
      <c r="G1112" s="28"/>
      <c r="H1112" s="26"/>
      <c r="I1112" s="26"/>
      <c r="J1112" s="26"/>
      <c r="K1112" s="34"/>
      <c r="L1112" s="28"/>
      <c r="M1112" s="28"/>
      <c r="N1112" s="26"/>
    </row>
    <row r="1113" spans="1:14">
      <c r="A1113" s="26"/>
      <c r="B1113" s="27"/>
      <c r="C1113" s="26"/>
      <c r="D1113" s="27"/>
      <c r="E1113" s="26"/>
      <c r="F1113" s="26"/>
      <c r="G1113" s="28"/>
      <c r="H1113" s="26"/>
      <c r="I1113" s="26"/>
      <c r="J1113" s="26"/>
      <c r="K1113" s="34"/>
      <c r="L1113" s="28"/>
      <c r="M1113" s="28"/>
      <c r="N1113" s="26"/>
    </row>
    <row r="1114" spans="1:14">
      <c r="A1114" s="26"/>
      <c r="B1114" s="27"/>
      <c r="C1114" s="26"/>
      <c r="D1114" s="27"/>
      <c r="E1114" s="26"/>
      <c r="F1114" s="26"/>
      <c r="G1114" s="28"/>
      <c r="H1114" s="26"/>
      <c r="I1114" s="26"/>
      <c r="J1114" s="26"/>
      <c r="K1114" s="34"/>
      <c r="L1114" s="28"/>
      <c r="M1114" s="28"/>
      <c r="N1114" s="26"/>
    </row>
    <row r="1115" spans="1:14">
      <c r="A1115" s="26"/>
      <c r="B1115" s="27"/>
      <c r="C1115" s="26"/>
      <c r="D1115" s="27"/>
      <c r="E1115" s="26"/>
      <c r="F1115" s="26"/>
      <c r="G1115" s="28"/>
      <c r="H1115" s="26"/>
      <c r="I1115" s="26"/>
      <c r="J1115" s="26"/>
      <c r="K1115" s="34"/>
      <c r="L1115" s="28"/>
      <c r="M1115" s="28"/>
      <c r="N1115" s="26"/>
    </row>
    <row r="1116" spans="1:14">
      <c r="A1116" s="26"/>
      <c r="B1116" s="27"/>
      <c r="C1116" s="26"/>
      <c r="D1116" s="27"/>
      <c r="E1116" s="26"/>
      <c r="F1116" s="26"/>
      <c r="G1116" s="28"/>
      <c r="H1116" s="26"/>
      <c r="I1116" s="26"/>
      <c r="J1116" s="26"/>
      <c r="K1116" s="34"/>
      <c r="L1116" s="28"/>
      <c r="M1116" s="28"/>
      <c r="N1116" s="26"/>
    </row>
    <row r="1117" spans="1:14">
      <c r="A1117" s="26"/>
      <c r="B1117" s="27"/>
      <c r="C1117" s="26"/>
      <c r="D1117" s="27"/>
      <c r="E1117" s="26"/>
      <c r="F1117" s="26"/>
      <c r="G1117" s="28"/>
      <c r="H1117" s="26"/>
      <c r="I1117" s="26"/>
      <c r="J1117" s="26"/>
      <c r="K1117" s="34"/>
      <c r="L1117" s="28"/>
      <c r="M1117" s="28"/>
      <c r="N1117" s="26"/>
    </row>
    <row r="1118" spans="1:14">
      <c r="A1118" s="26"/>
      <c r="B1118" s="27"/>
      <c r="C1118" s="26"/>
      <c r="D1118" s="27"/>
      <c r="E1118" s="26"/>
      <c r="F1118" s="26"/>
      <c r="G1118" s="28"/>
      <c r="H1118" s="26"/>
      <c r="I1118" s="26"/>
      <c r="J1118" s="26"/>
      <c r="K1118" s="34"/>
      <c r="L1118" s="28"/>
      <c r="M1118" s="28"/>
      <c r="N1118" s="26"/>
    </row>
    <row r="1119" spans="1:14">
      <c r="A1119" s="26"/>
      <c r="B1119" s="27"/>
      <c r="C1119" s="26"/>
      <c r="D1119" s="27"/>
      <c r="E1119" s="26"/>
      <c r="F1119" s="26"/>
      <c r="G1119" s="28"/>
      <c r="H1119" s="26"/>
      <c r="I1119" s="26"/>
      <c r="J1119" s="26"/>
      <c r="K1119" s="34"/>
      <c r="L1119" s="28"/>
      <c r="M1119" s="28"/>
      <c r="N1119" s="26"/>
    </row>
    <row r="1120" spans="1:14">
      <c r="A1120" s="26"/>
      <c r="B1120" s="27"/>
      <c r="C1120" s="26"/>
      <c r="D1120" s="27"/>
      <c r="E1120" s="26"/>
      <c r="F1120" s="26"/>
      <c r="G1120" s="28"/>
      <c r="H1120" s="26"/>
      <c r="I1120" s="26"/>
      <c r="J1120" s="26"/>
      <c r="K1120" s="34"/>
      <c r="L1120" s="28"/>
      <c r="M1120" s="28"/>
      <c r="N1120" s="26"/>
    </row>
    <row r="1121" spans="1:14">
      <c r="A1121" s="26"/>
      <c r="B1121" s="27"/>
      <c r="C1121" s="26"/>
      <c r="D1121" s="27"/>
      <c r="E1121" s="26"/>
      <c r="F1121" s="26"/>
      <c r="G1121" s="28"/>
      <c r="H1121" s="26"/>
      <c r="I1121" s="26"/>
      <c r="J1121" s="26"/>
      <c r="K1121" s="34"/>
      <c r="L1121" s="28"/>
      <c r="M1121" s="28"/>
      <c r="N1121" s="26"/>
    </row>
    <row r="1122" spans="1:14">
      <c r="A1122" s="26"/>
      <c r="B1122" s="27"/>
      <c r="C1122" s="26"/>
      <c r="D1122" s="27"/>
      <c r="E1122" s="26"/>
      <c r="F1122" s="26"/>
      <c r="G1122" s="28"/>
      <c r="H1122" s="26"/>
      <c r="I1122" s="26"/>
      <c r="J1122" s="26"/>
      <c r="K1122" s="34"/>
      <c r="L1122" s="28"/>
      <c r="M1122" s="28"/>
      <c r="N1122" s="26"/>
    </row>
    <row r="1123" spans="1:14">
      <c r="A1123" s="26"/>
      <c r="B1123" s="27"/>
      <c r="C1123" s="26"/>
      <c r="D1123" s="27"/>
      <c r="E1123" s="26"/>
      <c r="F1123" s="26"/>
      <c r="G1123" s="28"/>
      <c r="H1123" s="26"/>
      <c r="I1123" s="26"/>
      <c r="J1123" s="26"/>
      <c r="K1123" s="34"/>
      <c r="L1123" s="28"/>
      <c r="M1123" s="28"/>
      <c r="N1123" s="26"/>
    </row>
    <row r="1124" spans="1:14">
      <c r="A1124" s="26"/>
      <c r="B1124" s="27"/>
      <c r="C1124" s="26"/>
      <c r="D1124" s="27"/>
      <c r="E1124" s="26"/>
      <c r="F1124" s="26"/>
      <c r="G1124" s="28"/>
      <c r="H1124" s="26"/>
      <c r="I1124" s="26"/>
      <c r="J1124" s="26"/>
      <c r="K1124" s="34"/>
      <c r="L1124" s="28"/>
      <c r="M1124" s="28"/>
      <c r="N1124" s="26"/>
    </row>
    <row r="1125" spans="1:14">
      <c r="A1125" s="26"/>
      <c r="B1125" s="27"/>
      <c r="C1125" s="26"/>
      <c r="D1125" s="27"/>
      <c r="E1125" s="26"/>
      <c r="F1125" s="26"/>
      <c r="G1125" s="28"/>
      <c r="H1125" s="26"/>
      <c r="I1125" s="26"/>
      <c r="J1125" s="26"/>
      <c r="K1125" s="34"/>
      <c r="L1125" s="28"/>
      <c r="M1125" s="28"/>
      <c r="N1125" s="26"/>
    </row>
    <row r="1126" spans="1:14">
      <c r="A1126" s="26"/>
      <c r="B1126" s="27"/>
      <c r="C1126" s="26"/>
      <c r="D1126" s="27"/>
      <c r="E1126" s="26"/>
      <c r="F1126" s="26"/>
      <c r="G1126" s="28"/>
      <c r="H1126" s="26"/>
      <c r="I1126" s="26"/>
      <c r="J1126" s="26"/>
      <c r="K1126" s="34"/>
      <c r="L1126" s="28"/>
      <c r="M1126" s="28"/>
      <c r="N1126" s="26"/>
    </row>
    <row r="1127" spans="1:14">
      <c r="A1127" s="26"/>
      <c r="B1127" s="27"/>
      <c r="C1127" s="26"/>
      <c r="D1127" s="27"/>
      <c r="E1127" s="26"/>
      <c r="F1127" s="26"/>
      <c r="G1127" s="28"/>
      <c r="H1127" s="26"/>
      <c r="I1127" s="26"/>
      <c r="J1127" s="26"/>
      <c r="K1127" s="34"/>
      <c r="L1127" s="28"/>
      <c r="M1127" s="28"/>
      <c r="N1127" s="26"/>
    </row>
    <row r="1128" spans="1:14">
      <c r="A1128" s="26"/>
      <c r="B1128" s="27"/>
      <c r="C1128" s="26"/>
      <c r="D1128" s="27"/>
      <c r="E1128" s="26"/>
      <c r="F1128" s="26"/>
      <c r="G1128" s="28"/>
      <c r="H1128" s="26"/>
      <c r="I1128" s="26"/>
      <c r="J1128" s="26"/>
      <c r="K1128" s="34"/>
      <c r="L1128" s="28"/>
      <c r="M1128" s="28"/>
      <c r="N1128" s="26"/>
    </row>
    <row r="1129" spans="1:14">
      <c r="A1129" s="26"/>
      <c r="B1129" s="27"/>
      <c r="C1129" s="26"/>
      <c r="D1129" s="27"/>
      <c r="E1129" s="26"/>
      <c r="F1129" s="26"/>
      <c r="G1129" s="28"/>
      <c r="H1129" s="26"/>
      <c r="I1129" s="26"/>
      <c r="J1129" s="26"/>
      <c r="K1129" s="34"/>
      <c r="L1129" s="28"/>
      <c r="M1129" s="28"/>
      <c r="N1129" s="26"/>
    </row>
    <row r="1130" spans="1:14">
      <c r="A1130" s="26"/>
      <c r="B1130" s="27"/>
      <c r="C1130" s="26"/>
      <c r="D1130" s="27"/>
      <c r="E1130" s="26"/>
      <c r="F1130" s="26"/>
      <c r="G1130" s="28"/>
      <c r="H1130" s="26"/>
      <c r="I1130" s="26"/>
      <c r="J1130" s="26"/>
      <c r="K1130" s="34"/>
      <c r="L1130" s="28"/>
      <c r="M1130" s="28"/>
      <c r="N1130" s="26"/>
    </row>
    <row r="1131" spans="1:14">
      <c r="A1131" s="26"/>
      <c r="B1131" s="27"/>
      <c r="C1131" s="26"/>
      <c r="D1131" s="27"/>
      <c r="E1131" s="26"/>
      <c r="F1131" s="26"/>
      <c r="G1131" s="28"/>
      <c r="H1131" s="26"/>
      <c r="I1131" s="26"/>
      <c r="J1131" s="26"/>
      <c r="K1131" s="34"/>
      <c r="L1131" s="28"/>
      <c r="M1131" s="28"/>
      <c r="N1131" s="26"/>
    </row>
    <row r="1132" spans="1:14">
      <c r="A1132" s="26"/>
      <c r="B1132" s="27"/>
      <c r="C1132" s="26"/>
      <c r="D1132" s="27"/>
      <c r="E1132" s="26"/>
      <c r="F1132" s="26"/>
      <c r="G1132" s="28"/>
      <c r="H1132" s="26"/>
      <c r="I1132" s="26"/>
      <c r="J1132" s="26"/>
      <c r="K1132" s="34"/>
      <c r="L1132" s="28"/>
      <c r="M1132" s="28"/>
      <c r="N1132" s="26"/>
    </row>
    <row r="1133" spans="1:14">
      <c r="A1133" s="26"/>
      <c r="B1133" s="27"/>
      <c r="C1133" s="26"/>
      <c r="D1133" s="27"/>
      <c r="E1133" s="26"/>
      <c r="F1133" s="26"/>
      <c r="G1133" s="28"/>
      <c r="H1133" s="26"/>
      <c r="I1133" s="26"/>
      <c r="J1133" s="26"/>
      <c r="K1133" s="34"/>
      <c r="L1133" s="28"/>
      <c r="M1133" s="28"/>
      <c r="N1133" s="26"/>
    </row>
    <row r="1134" spans="1:14">
      <c r="A1134" s="26"/>
      <c r="B1134" s="27"/>
      <c r="C1134" s="26"/>
      <c r="D1134" s="27"/>
      <c r="E1134" s="26"/>
      <c r="F1134" s="26"/>
      <c r="G1134" s="28"/>
      <c r="H1134" s="26"/>
      <c r="I1134" s="26"/>
      <c r="J1134" s="26"/>
      <c r="K1134" s="34"/>
      <c r="L1134" s="28"/>
      <c r="M1134" s="28"/>
      <c r="N1134" s="26"/>
    </row>
    <row r="1135" spans="1:14">
      <c r="A1135" s="26"/>
      <c r="B1135" s="27"/>
      <c r="C1135" s="26"/>
      <c r="D1135" s="27"/>
      <c r="E1135" s="26"/>
      <c r="F1135" s="26"/>
      <c r="G1135" s="28"/>
      <c r="H1135" s="26"/>
      <c r="I1135" s="26"/>
      <c r="J1135" s="26"/>
      <c r="K1135" s="34"/>
      <c r="L1135" s="28"/>
      <c r="M1135" s="28"/>
      <c r="N1135" s="26"/>
    </row>
    <row r="1136" spans="1:14">
      <c r="A1136" s="26"/>
      <c r="B1136" s="27"/>
      <c r="C1136" s="26"/>
      <c r="D1136" s="27"/>
      <c r="E1136" s="26"/>
      <c r="F1136" s="26"/>
      <c r="G1136" s="28"/>
      <c r="H1136" s="26"/>
      <c r="I1136" s="26"/>
      <c r="J1136" s="26"/>
      <c r="K1136" s="34"/>
      <c r="L1136" s="28"/>
      <c r="M1136" s="28"/>
      <c r="N1136" s="26"/>
    </row>
    <row r="1137" spans="1:14">
      <c r="A1137" s="26"/>
      <c r="B1137" s="27"/>
      <c r="C1137" s="26"/>
      <c r="D1137" s="27"/>
      <c r="E1137" s="26"/>
      <c r="F1137" s="26"/>
      <c r="G1137" s="28"/>
      <c r="H1137" s="26"/>
      <c r="I1137" s="26"/>
      <c r="J1137" s="26"/>
      <c r="K1137" s="34"/>
      <c r="L1137" s="28"/>
      <c r="M1137" s="28"/>
      <c r="N1137" s="26"/>
    </row>
    <row r="1138" spans="1:14">
      <c r="A1138" s="26"/>
      <c r="B1138" s="27"/>
      <c r="C1138" s="26"/>
      <c r="D1138" s="27"/>
      <c r="E1138" s="26"/>
      <c r="F1138" s="26"/>
      <c r="G1138" s="28"/>
      <c r="H1138" s="26"/>
      <c r="I1138" s="26"/>
      <c r="J1138" s="26"/>
      <c r="K1138" s="34"/>
      <c r="L1138" s="28"/>
      <c r="M1138" s="28"/>
      <c r="N1138" s="26"/>
    </row>
    <row r="1139" spans="1:14">
      <c r="A1139" s="26"/>
      <c r="B1139" s="27"/>
      <c r="C1139" s="26"/>
      <c r="D1139" s="27"/>
      <c r="E1139" s="26"/>
      <c r="F1139" s="26"/>
      <c r="G1139" s="28"/>
      <c r="H1139" s="26"/>
      <c r="I1139" s="26"/>
      <c r="J1139" s="26"/>
      <c r="K1139" s="34"/>
      <c r="L1139" s="28"/>
      <c r="M1139" s="28"/>
      <c r="N1139" s="26"/>
    </row>
    <row r="1140" spans="1:14">
      <c r="A1140" s="26"/>
      <c r="B1140" s="27"/>
      <c r="C1140" s="26"/>
      <c r="D1140" s="27"/>
      <c r="E1140" s="26"/>
      <c r="F1140" s="26"/>
      <c r="G1140" s="28"/>
      <c r="H1140" s="26"/>
      <c r="I1140" s="26"/>
      <c r="J1140" s="26"/>
      <c r="K1140" s="34"/>
      <c r="L1140" s="28"/>
      <c r="M1140" s="28"/>
      <c r="N1140" s="26"/>
    </row>
    <row r="1141" spans="1:14">
      <c r="A1141" s="26"/>
      <c r="B1141" s="27"/>
      <c r="C1141" s="26"/>
      <c r="D1141" s="27"/>
      <c r="E1141" s="26"/>
      <c r="F1141" s="26"/>
      <c r="G1141" s="28"/>
      <c r="H1141" s="26"/>
      <c r="I1141" s="26"/>
      <c r="J1141" s="26"/>
      <c r="K1141" s="34"/>
      <c r="L1141" s="28"/>
      <c r="M1141" s="28"/>
      <c r="N1141" s="26"/>
    </row>
    <row r="1142" spans="1:14">
      <c r="A1142" s="26"/>
      <c r="B1142" s="27"/>
      <c r="C1142" s="26"/>
      <c r="D1142" s="27"/>
      <c r="E1142" s="26"/>
      <c r="F1142" s="26"/>
      <c r="G1142" s="28"/>
      <c r="H1142" s="26"/>
      <c r="I1142" s="26"/>
      <c r="J1142" s="26"/>
      <c r="K1142" s="34"/>
      <c r="L1142" s="28"/>
      <c r="M1142" s="28"/>
      <c r="N1142" s="26"/>
    </row>
    <row r="1143" spans="1:14">
      <c r="A1143" s="26"/>
      <c r="B1143" s="27"/>
      <c r="C1143" s="26"/>
      <c r="D1143" s="27"/>
      <c r="E1143" s="26"/>
      <c r="F1143" s="26"/>
      <c r="G1143" s="28"/>
      <c r="H1143" s="26"/>
      <c r="I1143" s="26"/>
      <c r="J1143" s="26"/>
      <c r="K1143" s="34"/>
      <c r="L1143" s="28"/>
      <c r="M1143" s="28"/>
      <c r="N1143" s="26"/>
    </row>
    <row r="1144" spans="1:14">
      <c r="A1144" s="26"/>
      <c r="B1144" s="27"/>
      <c r="C1144" s="26"/>
      <c r="D1144" s="27"/>
      <c r="E1144" s="26"/>
      <c r="F1144" s="26"/>
      <c r="G1144" s="28"/>
      <c r="H1144" s="26"/>
      <c r="I1144" s="26"/>
      <c r="J1144" s="26"/>
      <c r="K1144" s="34"/>
      <c r="L1144" s="28"/>
      <c r="M1144" s="28"/>
      <c r="N1144" s="26"/>
    </row>
    <row r="1145" spans="1:14">
      <c r="A1145" s="26"/>
      <c r="B1145" s="27"/>
      <c r="C1145" s="26"/>
      <c r="D1145" s="27"/>
      <c r="E1145" s="26"/>
      <c r="F1145" s="26"/>
      <c r="G1145" s="28"/>
      <c r="H1145" s="26"/>
      <c r="I1145" s="26"/>
      <c r="J1145" s="26"/>
      <c r="K1145" s="34"/>
      <c r="L1145" s="28"/>
      <c r="M1145" s="28"/>
      <c r="N1145" s="26"/>
    </row>
    <row r="1146" spans="1:14">
      <c r="A1146" s="26"/>
      <c r="B1146" s="27"/>
      <c r="C1146" s="26"/>
      <c r="D1146" s="27"/>
      <c r="E1146" s="26"/>
      <c r="F1146" s="26"/>
      <c r="G1146" s="28"/>
      <c r="H1146" s="26"/>
      <c r="I1146" s="26"/>
      <c r="J1146" s="26"/>
      <c r="K1146" s="34"/>
      <c r="L1146" s="28"/>
      <c r="M1146" s="28"/>
      <c r="N1146" s="26"/>
    </row>
    <row r="1147" spans="1:14">
      <c r="A1147" s="26"/>
      <c r="B1147" s="27"/>
      <c r="C1147" s="26"/>
      <c r="D1147" s="27"/>
      <c r="E1147" s="26"/>
      <c r="F1147" s="26"/>
      <c r="G1147" s="28"/>
      <c r="H1147" s="26"/>
      <c r="I1147" s="26"/>
      <c r="J1147" s="26"/>
      <c r="K1147" s="34"/>
      <c r="L1147" s="28"/>
      <c r="M1147" s="28"/>
      <c r="N1147" s="26"/>
    </row>
    <row r="1148" spans="1:14">
      <c r="A1148" s="26"/>
      <c r="B1148" s="27"/>
      <c r="C1148" s="26"/>
      <c r="D1148" s="27"/>
      <c r="E1148" s="26"/>
      <c r="F1148" s="26"/>
      <c r="G1148" s="28"/>
      <c r="H1148" s="26"/>
      <c r="I1148" s="26"/>
      <c r="J1148" s="26"/>
      <c r="K1148" s="34"/>
      <c r="L1148" s="28"/>
      <c r="M1148" s="28"/>
      <c r="N1148" s="26"/>
    </row>
    <row r="1149" spans="1:14">
      <c r="A1149" s="26"/>
      <c r="B1149" s="27"/>
      <c r="C1149" s="26"/>
      <c r="D1149" s="27"/>
      <c r="E1149" s="26"/>
      <c r="F1149" s="26"/>
      <c r="G1149" s="28"/>
      <c r="H1149" s="26"/>
      <c r="I1149" s="26"/>
      <c r="J1149" s="26"/>
      <c r="K1149" s="34"/>
      <c r="L1149" s="28"/>
      <c r="M1149" s="28"/>
      <c r="N1149" s="26"/>
    </row>
    <row r="1150" spans="1:14">
      <c r="A1150" s="26"/>
      <c r="B1150" s="27"/>
      <c r="C1150" s="26"/>
      <c r="D1150" s="27"/>
      <c r="E1150" s="26"/>
      <c r="F1150" s="26"/>
      <c r="G1150" s="28"/>
      <c r="H1150" s="26"/>
      <c r="I1150" s="26"/>
      <c r="J1150" s="26"/>
      <c r="K1150" s="34"/>
      <c r="L1150" s="28"/>
      <c r="M1150" s="28"/>
      <c r="N1150" s="26"/>
    </row>
    <row r="1151" spans="1:14">
      <c r="A1151" s="26"/>
      <c r="B1151" s="27"/>
      <c r="C1151" s="26"/>
      <c r="D1151" s="27"/>
      <c r="E1151" s="26"/>
      <c r="F1151" s="26"/>
      <c r="G1151" s="28"/>
      <c r="H1151" s="26"/>
      <c r="I1151" s="26"/>
      <c r="J1151" s="26"/>
      <c r="K1151" s="34"/>
      <c r="L1151" s="28"/>
      <c r="M1151" s="28"/>
      <c r="N1151" s="26"/>
    </row>
    <row r="1152" spans="1:14">
      <c r="A1152" s="26"/>
      <c r="B1152" s="27"/>
      <c r="C1152" s="26"/>
      <c r="D1152" s="27"/>
      <c r="E1152" s="26"/>
      <c r="F1152" s="26"/>
      <c r="G1152" s="28"/>
      <c r="H1152" s="26"/>
      <c r="I1152" s="26"/>
      <c r="J1152" s="26"/>
      <c r="K1152" s="34"/>
      <c r="L1152" s="28"/>
      <c r="M1152" s="28"/>
      <c r="N1152" s="26"/>
    </row>
    <row r="1153" spans="1:14">
      <c r="A1153" s="26"/>
      <c r="B1153" s="27"/>
      <c r="C1153" s="26"/>
      <c r="D1153" s="27"/>
      <c r="E1153" s="26"/>
      <c r="F1153" s="26"/>
      <c r="G1153" s="28"/>
      <c r="H1153" s="26"/>
      <c r="I1153" s="26"/>
      <c r="J1153" s="26"/>
      <c r="K1153" s="34"/>
      <c r="L1153" s="28"/>
      <c r="M1153" s="28"/>
      <c r="N1153" s="26"/>
    </row>
    <row r="1154" spans="1:14">
      <c r="A1154" s="26"/>
      <c r="B1154" s="27"/>
      <c r="C1154" s="26"/>
      <c r="D1154" s="27"/>
      <c r="E1154" s="26"/>
      <c r="F1154" s="26"/>
      <c r="G1154" s="28"/>
      <c r="H1154" s="26"/>
      <c r="I1154" s="26"/>
      <c r="J1154" s="26"/>
      <c r="K1154" s="34"/>
      <c r="L1154" s="28"/>
      <c r="M1154" s="28"/>
      <c r="N1154" s="26"/>
    </row>
    <row r="1155" spans="1:14">
      <c r="A1155" s="26"/>
      <c r="B1155" s="27"/>
      <c r="C1155" s="26"/>
      <c r="D1155" s="27"/>
      <c r="E1155" s="26"/>
      <c r="F1155" s="26"/>
      <c r="G1155" s="28"/>
      <c r="H1155" s="26"/>
      <c r="I1155" s="26"/>
      <c r="J1155" s="26"/>
      <c r="K1155" s="34"/>
      <c r="L1155" s="28"/>
      <c r="M1155" s="28"/>
      <c r="N1155" s="26"/>
    </row>
    <row r="1156" spans="1:14">
      <c r="A1156" s="26"/>
      <c r="B1156" s="27"/>
      <c r="C1156" s="26"/>
      <c r="D1156" s="27"/>
      <c r="E1156" s="26"/>
      <c r="F1156" s="26"/>
      <c r="G1156" s="28"/>
      <c r="H1156" s="26"/>
      <c r="I1156" s="26"/>
      <c r="J1156" s="26"/>
      <c r="K1156" s="34"/>
      <c r="L1156" s="28"/>
      <c r="M1156" s="28"/>
      <c r="N1156" s="26"/>
    </row>
    <row r="1157" spans="1:14">
      <c r="A1157" s="26"/>
      <c r="B1157" s="27"/>
      <c r="C1157" s="26"/>
      <c r="D1157" s="27"/>
      <c r="E1157" s="26"/>
      <c r="F1157" s="26"/>
      <c r="G1157" s="28"/>
      <c r="H1157" s="26"/>
      <c r="I1157" s="26"/>
      <c r="J1157" s="26"/>
      <c r="K1157" s="34"/>
      <c r="L1157" s="28"/>
      <c r="M1157" s="28"/>
      <c r="N1157" s="26"/>
    </row>
    <row r="1158" spans="1:14">
      <c r="A1158" s="26"/>
      <c r="B1158" s="27"/>
      <c r="C1158" s="26"/>
      <c r="D1158" s="27"/>
      <c r="E1158" s="26"/>
      <c r="F1158" s="26"/>
      <c r="G1158" s="28"/>
      <c r="H1158" s="26"/>
      <c r="I1158" s="26"/>
      <c r="J1158" s="26"/>
      <c r="K1158" s="34"/>
      <c r="L1158" s="28"/>
      <c r="M1158" s="28"/>
      <c r="N1158" s="26"/>
    </row>
    <row r="1159" spans="1:14">
      <c r="A1159" s="26"/>
      <c r="B1159" s="27"/>
      <c r="C1159" s="26"/>
      <c r="D1159" s="27"/>
      <c r="E1159" s="26"/>
      <c r="F1159" s="26"/>
      <c r="G1159" s="28"/>
      <c r="H1159" s="26"/>
      <c r="I1159" s="26"/>
      <c r="J1159" s="26"/>
      <c r="K1159" s="34"/>
      <c r="L1159" s="28"/>
      <c r="M1159" s="28"/>
      <c r="N1159" s="26"/>
    </row>
    <row r="1160" spans="1:14">
      <c r="A1160" s="26"/>
      <c r="B1160" s="27"/>
      <c r="C1160" s="26"/>
      <c r="D1160" s="27"/>
      <c r="E1160" s="26"/>
      <c r="F1160" s="26"/>
      <c r="G1160" s="28"/>
      <c r="H1160" s="26"/>
      <c r="I1160" s="26"/>
      <c r="J1160" s="26"/>
      <c r="K1160" s="34"/>
      <c r="L1160" s="28"/>
      <c r="M1160" s="28"/>
      <c r="N1160" s="26"/>
    </row>
    <row r="1161" spans="1:14">
      <c r="A1161" s="26"/>
      <c r="B1161" s="27"/>
      <c r="C1161" s="26"/>
      <c r="D1161" s="27"/>
      <c r="E1161" s="26"/>
      <c r="F1161" s="26"/>
      <c r="G1161" s="28"/>
      <c r="H1161" s="26"/>
      <c r="I1161" s="26"/>
      <c r="J1161" s="26"/>
      <c r="K1161" s="34"/>
      <c r="L1161" s="28"/>
      <c r="M1161" s="28"/>
      <c r="N1161" s="26"/>
    </row>
    <row r="1162" spans="1:14">
      <c r="A1162" s="26"/>
      <c r="B1162" s="27"/>
      <c r="C1162" s="26"/>
      <c r="D1162" s="27"/>
      <c r="E1162" s="26"/>
      <c r="F1162" s="26"/>
      <c r="G1162" s="28"/>
      <c r="H1162" s="26"/>
      <c r="I1162" s="26"/>
      <c r="J1162" s="26"/>
      <c r="K1162" s="34"/>
      <c r="L1162" s="28"/>
      <c r="M1162" s="28"/>
      <c r="N1162" s="26"/>
    </row>
    <row r="1163" spans="1:14">
      <c r="A1163" s="26"/>
      <c r="B1163" s="27"/>
      <c r="C1163" s="26"/>
      <c r="D1163" s="27"/>
      <c r="E1163" s="26"/>
      <c r="F1163" s="26"/>
      <c r="G1163" s="28"/>
      <c r="H1163" s="26"/>
      <c r="I1163" s="26"/>
      <c r="J1163" s="26"/>
      <c r="K1163" s="34"/>
      <c r="L1163" s="28"/>
      <c r="M1163" s="28"/>
      <c r="N1163" s="26"/>
    </row>
    <row r="1164" spans="1:14">
      <c r="A1164" s="26"/>
      <c r="B1164" s="27"/>
      <c r="C1164" s="26"/>
      <c r="D1164" s="27"/>
      <c r="E1164" s="26"/>
      <c r="F1164" s="26"/>
      <c r="G1164" s="28"/>
      <c r="H1164" s="26"/>
      <c r="I1164" s="26"/>
      <c r="J1164" s="26"/>
      <c r="K1164" s="34"/>
      <c r="L1164" s="28"/>
      <c r="M1164" s="28"/>
      <c r="N1164" s="26"/>
    </row>
    <row r="1165" spans="1:14">
      <c r="A1165" s="26"/>
      <c r="B1165" s="27"/>
      <c r="C1165" s="26"/>
      <c r="D1165" s="27"/>
      <c r="E1165" s="26"/>
      <c r="F1165" s="26"/>
      <c r="G1165" s="28"/>
      <c r="H1165" s="26"/>
      <c r="I1165" s="26"/>
      <c r="J1165" s="26"/>
      <c r="K1165" s="34"/>
      <c r="L1165" s="28"/>
      <c r="M1165" s="28"/>
      <c r="N1165" s="26"/>
    </row>
    <row r="1166" spans="1:14">
      <c r="A1166" s="26"/>
      <c r="B1166" s="27"/>
      <c r="C1166" s="26"/>
      <c r="D1166" s="27"/>
      <c r="E1166" s="26"/>
      <c r="F1166" s="26"/>
      <c r="G1166" s="28"/>
      <c r="H1166" s="26"/>
      <c r="I1166" s="26"/>
      <c r="J1166" s="26"/>
      <c r="K1166" s="34"/>
      <c r="L1166" s="28"/>
      <c r="M1166" s="28"/>
      <c r="N1166" s="26"/>
    </row>
    <row r="1167" spans="1:14">
      <c r="A1167" s="26"/>
      <c r="B1167" s="27"/>
      <c r="C1167" s="26"/>
      <c r="D1167" s="27"/>
      <c r="E1167" s="26"/>
      <c r="F1167" s="26"/>
      <c r="G1167" s="28"/>
      <c r="H1167" s="26"/>
      <c r="I1167" s="26"/>
      <c r="J1167" s="26"/>
      <c r="K1167" s="34"/>
      <c r="L1167" s="28"/>
      <c r="M1167" s="28"/>
      <c r="N1167" s="26"/>
    </row>
    <row r="1168" spans="1:14">
      <c r="A1168" s="26"/>
      <c r="B1168" s="27"/>
      <c r="C1168" s="26"/>
      <c r="D1168" s="27"/>
      <c r="E1168" s="26"/>
      <c r="F1168" s="26"/>
      <c r="G1168" s="28"/>
      <c r="H1168" s="26"/>
      <c r="I1168" s="26"/>
      <c r="J1168" s="26"/>
      <c r="K1168" s="34"/>
      <c r="L1168" s="28"/>
      <c r="M1168" s="28"/>
      <c r="N1168" s="26"/>
    </row>
    <row r="1169" spans="1:14">
      <c r="A1169" s="26"/>
      <c r="B1169" s="27"/>
      <c r="C1169" s="26"/>
      <c r="D1169" s="27"/>
      <c r="E1169" s="26"/>
      <c r="F1169" s="26"/>
      <c r="G1169" s="28"/>
      <c r="H1169" s="26"/>
      <c r="I1169" s="26"/>
      <c r="J1169" s="26"/>
      <c r="K1169" s="34"/>
      <c r="L1169" s="28"/>
      <c r="M1169" s="28"/>
      <c r="N1169" s="26"/>
    </row>
    <row r="1170" spans="1:14">
      <c r="A1170" s="26"/>
      <c r="B1170" s="27"/>
      <c r="C1170" s="26"/>
      <c r="D1170" s="27"/>
      <c r="E1170" s="26"/>
      <c r="F1170" s="26"/>
      <c r="G1170" s="28"/>
      <c r="H1170" s="26"/>
      <c r="I1170" s="26"/>
      <c r="J1170" s="26"/>
      <c r="K1170" s="34"/>
      <c r="L1170" s="28"/>
      <c r="M1170" s="28"/>
      <c r="N1170" s="26"/>
    </row>
    <row r="1171" spans="1:14">
      <c r="A1171" s="26"/>
      <c r="B1171" s="27"/>
      <c r="C1171" s="26"/>
      <c r="D1171" s="27"/>
      <c r="E1171" s="26"/>
      <c r="F1171" s="26"/>
      <c r="G1171" s="28"/>
      <c r="H1171" s="26"/>
      <c r="I1171" s="26"/>
      <c r="J1171" s="26"/>
      <c r="K1171" s="34"/>
      <c r="L1171" s="28"/>
      <c r="M1171" s="28"/>
      <c r="N1171" s="26"/>
    </row>
    <row r="1172" spans="1:14">
      <c r="A1172" s="26"/>
      <c r="B1172" s="27"/>
      <c r="C1172" s="26"/>
      <c r="D1172" s="27"/>
      <c r="E1172" s="26"/>
      <c r="F1172" s="26"/>
      <c r="G1172" s="28"/>
      <c r="H1172" s="26"/>
      <c r="I1172" s="26"/>
      <c r="J1172" s="26"/>
      <c r="K1172" s="34"/>
      <c r="L1172" s="28"/>
      <c r="M1172" s="28"/>
      <c r="N1172" s="26"/>
    </row>
    <row r="1173" spans="1:14">
      <c r="A1173" s="26"/>
      <c r="B1173" s="27"/>
      <c r="C1173" s="26"/>
      <c r="D1173" s="27"/>
      <c r="E1173" s="26"/>
      <c r="F1173" s="26"/>
      <c r="G1173" s="28"/>
      <c r="H1173" s="26"/>
      <c r="I1173" s="26"/>
      <c r="J1173" s="26"/>
      <c r="K1173" s="34"/>
      <c r="L1173" s="28"/>
      <c r="M1173" s="28"/>
      <c r="N1173" s="26"/>
    </row>
    <row r="1174" spans="1:14">
      <c r="A1174" s="26"/>
      <c r="B1174" s="27"/>
      <c r="C1174" s="26"/>
      <c r="D1174" s="27"/>
      <c r="E1174" s="26"/>
      <c r="F1174" s="26"/>
      <c r="G1174" s="28"/>
      <c r="H1174" s="26"/>
      <c r="I1174" s="26"/>
      <c r="J1174" s="26"/>
      <c r="K1174" s="34"/>
      <c r="L1174" s="28"/>
      <c r="M1174" s="28"/>
      <c r="N1174" s="26"/>
    </row>
    <row r="1175" spans="1:14">
      <c r="A1175" s="26"/>
      <c r="B1175" s="27"/>
      <c r="C1175" s="26"/>
      <c r="D1175" s="27"/>
      <c r="E1175" s="26"/>
      <c r="F1175" s="26"/>
      <c r="G1175" s="28"/>
      <c r="H1175" s="26"/>
      <c r="I1175" s="26"/>
      <c r="J1175" s="26"/>
      <c r="K1175" s="34"/>
      <c r="L1175" s="28"/>
      <c r="M1175" s="28"/>
      <c r="N1175" s="26"/>
    </row>
    <row r="1176" spans="1:14">
      <c r="A1176" s="26"/>
      <c r="B1176" s="27"/>
      <c r="C1176" s="26"/>
      <c r="D1176" s="27"/>
      <c r="E1176" s="26"/>
      <c r="F1176" s="26"/>
      <c r="G1176" s="28"/>
      <c r="H1176" s="26"/>
      <c r="I1176" s="26"/>
      <c r="J1176" s="26"/>
      <c r="K1176" s="34"/>
      <c r="L1176" s="28"/>
      <c r="M1176" s="28"/>
      <c r="N1176" s="26"/>
    </row>
    <row r="1177" spans="1:14">
      <c r="A1177" s="26"/>
      <c r="B1177" s="27"/>
      <c r="C1177" s="26"/>
      <c r="D1177" s="27"/>
      <c r="E1177" s="26"/>
      <c r="F1177" s="26"/>
      <c r="G1177" s="28"/>
      <c r="H1177" s="26"/>
      <c r="I1177" s="26"/>
      <c r="J1177" s="26"/>
      <c r="K1177" s="34"/>
      <c r="L1177" s="28"/>
      <c r="M1177" s="28"/>
      <c r="N1177" s="26"/>
    </row>
    <row r="1178" spans="1:14">
      <c r="A1178" s="26"/>
      <c r="B1178" s="27"/>
      <c r="C1178" s="26"/>
      <c r="D1178" s="27"/>
      <c r="E1178" s="26"/>
      <c r="F1178" s="26"/>
      <c r="G1178" s="28"/>
      <c r="H1178" s="26"/>
      <c r="I1178" s="26"/>
      <c r="J1178" s="26"/>
      <c r="K1178" s="34"/>
      <c r="L1178" s="28"/>
      <c r="M1178" s="28"/>
      <c r="N1178" s="26"/>
    </row>
    <row r="1179" spans="1:14">
      <c r="A1179" s="26"/>
      <c r="B1179" s="27"/>
      <c r="C1179" s="26"/>
      <c r="D1179" s="27"/>
      <c r="E1179" s="26"/>
      <c r="F1179" s="26"/>
      <c r="G1179" s="28"/>
      <c r="H1179" s="26"/>
      <c r="I1179" s="26"/>
      <c r="J1179" s="26"/>
      <c r="K1179" s="34"/>
      <c r="L1179" s="28"/>
      <c r="M1179" s="28"/>
      <c r="N1179" s="26"/>
    </row>
    <row r="1180" spans="1:14">
      <c r="A1180" s="26"/>
      <c r="B1180" s="27"/>
      <c r="C1180" s="26"/>
      <c r="D1180" s="27"/>
      <c r="E1180" s="26"/>
      <c r="F1180" s="26"/>
      <c r="G1180" s="28"/>
      <c r="H1180" s="26"/>
      <c r="I1180" s="26"/>
      <c r="J1180" s="26"/>
      <c r="K1180" s="34"/>
      <c r="L1180" s="28"/>
      <c r="M1180" s="28"/>
      <c r="N1180" s="26"/>
    </row>
    <row r="1181" spans="1:14">
      <c r="A1181" s="26"/>
      <c r="B1181" s="27"/>
      <c r="C1181" s="26"/>
      <c r="D1181" s="27"/>
      <c r="E1181" s="26"/>
      <c r="F1181" s="26"/>
      <c r="G1181" s="28"/>
      <c r="H1181" s="26"/>
      <c r="I1181" s="26"/>
      <c r="J1181" s="26"/>
      <c r="K1181" s="34"/>
      <c r="L1181" s="28"/>
      <c r="M1181" s="28"/>
      <c r="N1181" s="26"/>
    </row>
    <row r="1182" spans="1:14">
      <c r="A1182" s="26"/>
      <c r="B1182" s="27"/>
      <c r="C1182" s="26"/>
      <c r="D1182" s="27"/>
      <c r="E1182" s="26"/>
      <c r="F1182" s="26"/>
      <c r="G1182" s="28"/>
      <c r="H1182" s="26"/>
      <c r="I1182" s="26"/>
      <c r="J1182" s="26"/>
      <c r="K1182" s="34"/>
      <c r="L1182" s="28"/>
      <c r="M1182" s="28"/>
      <c r="N1182" s="26"/>
    </row>
    <row r="1183" spans="1:14">
      <c r="A1183" s="26"/>
      <c r="B1183" s="27"/>
      <c r="C1183" s="26"/>
      <c r="D1183" s="27"/>
      <c r="E1183" s="26"/>
      <c r="F1183" s="26"/>
      <c r="G1183" s="28"/>
      <c r="H1183" s="26"/>
      <c r="I1183" s="26"/>
      <c r="J1183" s="26"/>
      <c r="K1183" s="34"/>
      <c r="L1183" s="28"/>
      <c r="M1183" s="28"/>
      <c r="N1183" s="26"/>
    </row>
    <row r="1184" spans="1:14">
      <c r="A1184" s="26"/>
      <c r="B1184" s="27"/>
      <c r="C1184" s="26"/>
      <c r="D1184" s="27"/>
      <c r="E1184" s="26"/>
      <c r="F1184" s="26"/>
      <c r="G1184" s="28"/>
      <c r="H1184" s="26"/>
      <c r="I1184" s="26"/>
      <c r="J1184" s="26"/>
      <c r="K1184" s="34"/>
      <c r="L1184" s="28"/>
      <c r="M1184" s="28"/>
      <c r="N1184" s="26"/>
    </row>
    <row r="1185" spans="1:14">
      <c r="A1185" s="26"/>
      <c r="B1185" s="27"/>
      <c r="C1185" s="26"/>
      <c r="D1185" s="27"/>
      <c r="E1185" s="26"/>
      <c r="F1185" s="26"/>
      <c r="G1185" s="28"/>
      <c r="H1185" s="26"/>
      <c r="I1185" s="26"/>
      <c r="J1185" s="26"/>
      <c r="K1185" s="34"/>
      <c r="L1185" s="28"/>
      <c r="M1185" s="28"/>
      <c r="N1185" s="26"/>
    </row>
    <row r="1186" spans="1:14">
      <c r="A1186" s="26"/>
      <c r="B1186" s="27"/>
      <c r="C1186" s="26"/>
      <c r="D1186" s="27"/>
      <c r="E1186" s="26"/>
      <c r="F1186" s="26"/>
      <c r="G1186" s="28"/>
      <c r="H1186" s="26"/>
      <c r="I1186" s="26"/>
      <c r="J1186" s="26"/>
      <c r="K1186" s="34"/>
      <c r="L1186" s="28"/>
      <c r="M1186" s="28"/>
      <c r="N1186" s="26"/>
    </row>
    <row r="1187" spans="1:14">
      <c r="A1187" s="26"/>
      <c r="B1187" s="27"/>
      <c r="C1187" s="26"/>
      <c r="D1187" s="27"/>
      <c r="E1187" s="26"/>
      <c r="F1187" s="26"/>
      <c r="G1187" s="28"/>
      <c r="H1187" s="26"/>
      <c r="I1187" s="26"/>
      <c r="J1187" s="26"/>
      <c r="K1187" s="34"/>
      <c r="L1187" s="28"/>
      <c r="M1187" s="28"/>
      <c r="N1187" s="26"/>
    </row>
    <row r="1188" spans="1:14">
      <c r="A1188" s="26"/>
      <c r="B1188" s="27"/>
      <c r="C1188" s="26"/>
      <c r="D1188" s="27"/>
      <c r="E1188" s="26"/>
      <c r="F1188" s="26"/>
      <c r="G1188" s="28"/>
      <c r="H1188" s="26"/>
      <c r="I1188" s="26"/>
      <c r="J1188" s="26"/>
      <c r="K1188" s="34"/>
      <c r="L1188" s="28"/>
      <c r="M1188" s="28"/>
      <c r="N1188" s="26"/>
    </row>
    <row r="1189" spans="1:14">
      <c r="A1189" s="26"/>
      <c r="B1189" s="27"/>
      <c r="C1189" s="26"/>
      <c r="D1189" s="27"/>
      <c r="E1189" s="26"/>
      <c r="F1189" s="26"/>
      <c r="G1189" s="28"/>
      <c r="H1189" s="26"/>
      <c r="I1189" s="26"/>
      <c r="J1189" s="26"/>
      <c r="K1189" s="34"/>
      <c r="L1189" s="28"/>
      <c r="M1189" s="28"/>
      <c r="N1189" s="26"/>
    </row>
    <row r="1190" spans="1:14">
      <c r="A1190" s="26"/>
      <c r="B1190" s="27"/>
      <c r="C1190" s="26"/>
      <c r="D1190" s="27"/>
      <c r="E1190" s="26"/>
      <c r="F1190" s="26"/>
      <c r="G1190" s="28"/>
      <c r="H1190" s="26"/>
      <c r="I1190" s="26"/>
      <c r="J1190" s="26"/>
      <c r="K1190" s="34"/>
      <c r="L1190" s="28"/>
      <c r="M1190" s="28"/>
      <c r="N1190" s="26"/>
    </row>
    <row r="1191" spans="1:14">
      <c r="A1191" s="26"/>
      <c r="B1191" s="27"/>
      <c r="C1191" s="26"/>
      <c r="D1191" s="27"/>
      <c r="E1191" s="26"/>
      <c r="F1191" s="26"/>
      <c r="G1191" s="28"/>
      <c r="H1191" s="26"/>
      <c r="I1191" s="26"/>
      <c r="J1191" s="26"/>
      <c r="K1191" s="34"/>
      <c r="L1191" s="28"/>
      <c r="M1191" s="28"/>
      <c r="N1191" s="26"/>
    </row>
    <row r="1192" spans="1:14">
      <c r="A1192" s="26"/>
      <c r="B1192" s="27"/>
      <c r="C1192" s="26"/>
      <c r="D1192" s="27"/>
      <c r="E1192" s="26"/>
      <c r="F1192" s="26"/>
      <c r="G1192" s="28"/>
      <c r="H1192" s="26"/>
      <c r="I1192" s="26"/>
      <c r="J1192" s="26"/>
      <c r="K1192" s="34"/>
      <c r="L1192" s="28"/>
      <c r="M1192" s="28"/>
      <c r="N1192" s="26"/>
    </row>
    <row r="1193" spans="1:14">
      <c r="A1193" s="26"/>
      <c r="B1193" s="27"/>
      <c r="C1193" s="26"/>
      <c r="D1193" s="27"/>
      <c r="E1193" s="26"/>
      <c r="F1193" s="26"/>
      <c r="G1193" s="28"/>
      <c r="H1193" s="26"/>
      <c r="I1193" s="26"/>
      <c r="J1193" s="26"/>
      <c r="K1193" s="34"/>
      <c r="L1193" s="28"/>
      <c r="M1193" s="28"/>
      <c r="N1193" s="26"/>
    </row>
    <row r="1194" spans="1:14">
      <c r="A1194" s="26"/>
      <c r="B1194" s="27"/>
      <c r="C1194" s="26"/>
      <c r="D1194" s="27"/>
      <c r="E1194" s="26"/>
      <c r="F1194" s="26"/>
      <c r="G1194" s="28"/>
      <c r="H1194" s="26"/>
      <c r="I1194" s="26"/>
      <c r="J1194" s="26"/>
      <c r="K1194" s="34"/>
      <c r="L1194" s="28"/>
      <c r="M1194" s="28"/>
      <c r="N1194" s="26"/>
    </row>
    <row r="1195" spans="1:14">
      <c r="A1195" s="26"/>
      <c r="B1195" s="27"/>
      <c r="C1195" s="26"/>
      <c r="D1195" s="27"/>
      <c r="E1195" s="26"/>
      <c r="F1195" s="26"/>
      <c r="G1195" s="28"/>
      <c r="H1195" s="26"/>
      <c r="I1195" s="26"/>
      <c r="J1195" s="26"/>
      <c r="K1195" s="34"/>
      <c r="L1195" s="28"/>
      <c r="M1195" s="28"/>
      <c r="N1195" s="26"/>
    </row>
    <row r="1196" spans="1:14">
      <c r="A1196" s="26"/>
      <c r="B1196" s="27"/>
      <c r="C1196" s="26"/>
      <c r="D1196" s="27"/>
      <c r="E1196" s="26"/>
      <c r="F1196" s="26"/>
      <c r="G1196" s="28"/>
      <c r="H1196" s="26"/>
      <c r="I1196" s="26"/>
      <c r="J1196" s="26"/>
      <c r="K1196" s="34"/>
      <c r="L1196" s="28"/>
      <c r="M1196" s="28"/>
      <c r="N1196" s="26"/>
    </row>
    <row r="1197" spans="1:14">
      <c r="A1197" s="26"/>
      <c r="B1197" s="27"/>
      <c r="C1197" s="26"/>
      <c r="D1197" s="27"/>
      <c r="E1197" s="26"/>
      <c r="F1197" s="26"/>
      <c r="G1197" s="28"/>
      <c r="H1197" s="26"/>
      <c r="I1197" s="26"/>
      <c r="J1197" s="26"/>
      <c r="K1197" s="34"/>
      <c r="L1197" s="28"/>
      <c r="M1197" s="28"/>
      <c r="N1197" s="26"/>
    </row>
    <row r="1198" spans="1:14">
      <c r="A1198" s="26"/>
      <c r="B1198" s="27"/>
      <c r="C1198" s="26"/>
      <c r="D1198" s="27"/>
      <c r="E1198" s="26"/>
      <c r="F1198" s="26"/>
      <c r="G1198" s="28"/>
      <c r="H1198" s="26"/>
      <c r="I1198" s="26"/>
      <c r="J1198" s="26"/>
      <c r="K1198" s="34"/>
      <c r="L1198" s="28"/>
      <c r="M1198" s="28"/>
      <c r="N1198" s="26"/>
    </row>
    <row r="1199" spans="1:14">
      <c r="A1199" s="26"/>
      <c r="B1199" s="27"/>
      <c r="C1199" s="26"/>
      <c r="D1199" s="27"/>
      <c r="E1199" s="26"/>
      <c r="F1199" s="26"/>
      <c r="G1199" s="28"/>
      <c r="H1199" s="26"/>
      <c r="I1199" s="26"/>
      <c r="J1199" s="26"/>
      <c r="K1199" s="34"/>
      <c r="L1199" s="28"/>
      <c r="M1199" s="28"/>
      <c r="N1199" s="26"/>
    </row>
    <row r="1200" spans="1:14">
      <c r="A1200" s="26"/>
      <c r="B1200" s="27"/>
      <c r="C1200" s="26"/>
      <c r="D1200" s="27"/>
      <c r="E1200" s="26"/>
      <c r="F1200" s="26"/>
      <c r="G1200" s="28"/>
      <c r="H1200" s="26"/>
      <c r="I1200" s="26"/>
      <c r="J1200" s="26"/>
      <c r="K1200" s="34"/>
      <c r="L1200" s="28"/>
      <c r="M1200" s="28"/>
      <c r="N1200" s="26"/>
    </row>
    <row r="1201" spans="1:14">
      <c r="A1201" s="26"/>
      <c r="B1201" s="27"/>
      <c r="C1201" s="26"/>
      <c r="D1201" s="27"/>
      <c r="E1201" s="26"/>
      <c r="F1201" s="26"/>
      <c r="G1201" s="28"/>
      <c r="H1201" s="26"/>
      <c r="I1201" s="26"/>
      <c r="J1201" s="26"/>
      <c r="K1201" s="34"/>
      <c r="L1201" s="28"/>
      <c r="M1201" s="28"/>
      <c r="N1201" s="26"/>
    </row>
    <row r="1202" spans="1:14">
      <c r="A1202" s="26"/>
      <c r="B1202" s="27"/>
      <c r="C1202" s="26"/>
      <c r="D1202" s="27"/>
      <c r="E1202" s="26"/>
      <c r="F1202" s="26"/>
      <c r="G1202" s="28"/>
      <c r="H1202" s="26"/>
      <c r="I1202" s="26"/>
      <c r="J1202" s="26"/>
      <c r="K1202" s="34"/>
      <c r="L1202" s="28"/>
      <c r="M1202" s="28"/>
      <c r="N1202" s="26"/>
    </row>
    <row r="1203" spans="1:14">
      <c r="A1203" s="26"/>
      <c r="B1203" s="27"/>
      <c r="C1203" s="26"/>
      <c r="D1203" s="27"/>
      <c r="E1203" s="26"/>
      <c r="F1203" s="26"/>
      <c r="G1203" s="28"/>
      <c r="H1203" s="26"/>
      <c r="I1203" s="26"/>
      <c r="J1203" s="26"/>
      <c r="K1203" s="34"/>
      <c r="L1203" s="28"/>
      <c r="M1203" s="28"/>
      <c r="N1203" s="26"/>
    </row>
    <row r="1204" spans="1:14">
      <c r="A1204" s="26"/>
      <c r="B1204" s="27"/>
      <c r="C1204" s="26"/>
      <c r="D1204" s="27"/>
      <c r="E1204" s="26"/>
      <c r="F1204" s="26"/>
      <c r="G1204" s="28"/>
      <c r="H1204" s="26"/>
      <c r="I1204" s="26"/>
      <c r="J1204" s="26"/>
      <c r="K1204" s="34"/>
      <c r="L1204" s="28"/>
      <c r="M1204" s="28"/>
      <c r="N1204" s="26"/>
    </row>
    <row r="1205" spans="1:14">
      <c r="A1205" s="26"/>
      <c r="B1205" s="27"/>
      <c r="C1205" s="26"/>
      <c r="D1205" s="27"/>
      <c r="E1205" s="26"/>
      <c r="F1205" s="26"/>
      <c r="G1205" s="28"/>
      <c r="H1205" s="26"/>
      <c r="I1205" s="26"/>
      <c r="J1205" s="26"/>
      <c r="K1205" s="34"/>
      <c r="L1205" s="28"/>
      <c r="M1205" s="28"/>
      <c r="N1205" s="26"/>
    </row>
    <row r="1206" spans="1:14">
      <c r="A1206" s="26"/>
      <c r="B1206" s="27"/>
      <c r="C1206" s="26"/>
      <c r="D1206" s="27"/>
      <c r="E1206" s="26"/>
      <c r="F1206" s="26"/>
      <c r="G1206" s="28"/>
      <c r="H1206" s="26"/>
      <c r="I1206" s="26"/>
      <c r="J1206" s="26"/>
      <c r="K1206" s="34"/>
      <c r="L1206" s="28"/>
      <c r="M1206" s="28"/>
      <c r="N1206" s="26"/>
    </row>
    <row r="1207" spans="1:14">
      <c r="A1207" s="26"/>
      <c r="B1207" s="27"/>
      <c r="C1207" s="26"/>
      <c r="D1207" s="27"/>
      <c r="E1207" s="26"/>
      <c r="F1207" s="26"/>
      <c r="G1207" s="28"/>
      <c r="H1207" s="26"/>
      <c r="I1207" s="26"/>
      <c r="J1207" s="26"/>
      <c r="K1207" s="34"/>
      <c r="L1207" s="28"/>
      <c r="M1207" s="28"/>
      <c r="N1207" s="26"/>
    </row>
    <row r="1208" spans="1:14">
      <c r="A1208" s="26"/>
      <c r="B1208" s="27"/>
      <c r="C1208" s="26"/>
      <c r="D1208" s="27"/>
      <c r="E1208" s="26"/>
      <c r="F1208" s="26"/>
      <c r="G1208" s="28"/>
      <c r="H1208" s="26"/>
      <c r="I1208" s="26"/>
      <c r="J1208" s="26"/>
      <c r="K1208" s="34"/>
      <c r="L1208" s="28"/>
      <c r="M1208" s="28"/>
      <c r="N1208" s="26"/>
    </row>
    <row r="1209" spans="1:14">
      <c r="A1209" s="26"/>
      <c r="B1209" s="27"/>
      <c r="C1209" s="26"/>
      <c r="D1209" s="27"/>
      <c r="E1209" s="26"/>
      <c r="F1209" s="26"/>
      <c r="G1209" s="28"/>
      <c r="H1209" s="26"/>
      <c r="I1209" s="26"/>
      <c r="J1209" s="26"/>
      <c r="K1209" s="34"/>
      <c r="L1209" s="28"/>
      <c r="M1209" s="28"/>
      <c r="N1209" s="26"/>
    </row>
    <row r="1210" spans="1:14">
      <c r="A1210" s="26"/>
      <c r="B1210" s="27"/>
      <c r="C1210" s="26"/>
      <c r="D1210" s="27"/>
      <c r="E1210" s="26"/>
      <c r="F1210" s="26"/>
      <c r="G1210" s="28"/>
      <c r="H1210" s="26"/>
      <c r="I1210" s="26"/>
      <c r="J1210" s="26"/>
      <c r="K1210" s="34"/>
      <c r="L1210" s="28"/>
      <c r="M1210" s="28"/>
      <c r="N1210" s="26"/>
    </row>
    <row r="1211" spans="1:14">
      <c r="A1211" s="26"/>
      <c r="B1211" s="27"/>
      <c r="C1211" s="26"/>
      <c r="D1211" s="27"/>
      <c r="E1211" s="26"/>
      <c r="F1211" s="26"/>
      <c r="G1211" s="28"/>
      <c r="H1211" s="26"/>
      <c r="I1211" s="26"/>
      <c r="J1211" s="26"/>
      <c r="K1211" s="34"/>
      <c r="L1211" s="28"/>
      <c r="M1211" s="28"/>
      <c r="N1211" s="26"/>
    </row>
    <row r="1212" spans="1:14">
      <c r="A1212" s="26"/>
      <c r="B1212" s="27"/>
      <c r="C1212" s="26"/>
      <c r="D1212" s="27"/>
      <c r="E1212" s="26"/>
      <c r="F1212" s="26"/>
      <c r="G1212" s="28"/>
      <c r="H1212" s="26"/>
      <c r="I1212" s="26"/>
      <c r="J1212" s="26"/>
      <c r="K1212" s="34"/>
      <c r="L1212" s="28"/>
      <c r="M1212" s="28"/>
      <c r="N1212" s="26"/>
    </row>
    <row r="1213" spans="1:14">
      <c r="A1213" s="26"/>
      <c r="B1213" s="27"/>
      <c r="C1213" s="26"/>
      <c r="D1213" s="27"/>
      <c r="E1213" s="26"/>
      <c r="F1213" s="26"/>
      <c r="G1213" s="28"/>
      <c r="H1213" s="26"/>
      <c r="I1213" s="26"/>
      <c r="J1213" s="26"/>
      <c r="K1213" s="34"/>
      <c r="L1213" s="28"/>
      <c r="M1213" s="28"/>
      <c r="N1213" s="26"/>
    </row>
    <row r="1214" spans="1:14">
      <c r="A1214" s="26"/>
      <c r="B1214" s="27"/>
      <c r="C1214" s="26"/>
      <c r="D1214" s="27"/>
      <c r="E1214" s="26"/>
      <c r="F1214" s="26"/>
      <c r="G1214" s="28"/>
      <c r="H1214" s="26"/>
      <c r="I1214" s="26"/>
      <c r="J1214" s="26"/>
      <c r="K1214" s="34"/>
      <c r="L1214" s="28"/>
      <c r="M1214" s="28"/>
      <c r="N1214" s="26"/>
    </row>
    <row r="1215" spans="1:14">
      <c r="A1215" s="26"/>
      <c r="B1215" s="27"/>
      <c r="C1215" s="26"/>
      <c r="D1215" s="27"/>
      <c r="E1215" s="26"/>
      <c r="F1215" s="26"/>
      <c r="G1215" s="28"/>
      <c r="H1215" s="26"/>
      <c r="I1215" s="26"/>
      <c r="J1215" s="26"/>
      <c r="K1215" s="34"/>
      <c r="L1215" s="28"/>
      <c r="M1215" s="28"/>
      <c r="N1215" s="26"/>
    </row>
    <row r="1216" spans="1:14">
      <c r="A1216" s="26"/>
      <c r="B1216" s="27"/>
      <c r="C1216" s="26"/>
      <c r="D1216" s="27"/>
      <c r="E1216" s="26"/>
      <c r="F1216" s="26"/>
      <c r="G1216" s="28"/>
      <c r="H1216" s="26"/>
      <c r="I1216" s="26"/>
      <c r="J1216" s="26"/>
      <c r="K1216" s="34"/>
      <c r="L1216" s="28"/>
      <c r="M1216" s="28"/>
      <c r="N1216" s="26"/>
    </row>
    <row r="1217" spans="1:14">
      <c r="A1217" s="26"/>
      <c r="B1217" s="27"/>
      <c r="C1217" s="26"/>
      <c r="D1217" s="27"/>
      <c r="E1217" s="26"/>
      <c r="F1217" s="26"/>
      <c r="G1217" s="28"/>
      <c r="H1217" s="26"/>
      <c r="I1217" s="26"/>
      <c r="J1217" s="26"/>
      <c r="K1217" s="34"/>
      <c r="L1217" s="28"/>
      <c r="M1217" s="28"/>
      <c r="N1217" s="26"/>
    </row>
    <row r="1218" spans="1:14">
      <c r="A1218" s="26"/>
      <c r="B1218" s="27"/>
      <c r="C1218" s="26"/>
      <c r="D1218" s="27"/>
      <c r="E1218" s="26"/>
      <c r="F1218" s="26"/>
      <c r="G1218" s="28"/>
      <c r="H1218" s="26"/>
      <c r="I1218" s="26"/>
      <c r="J1218" s="26"/>
      <c r="K1218" s="34"/>
      <c r="L1218" s="28"/>
      <c r="M1218" s="28"/>
      <c r="N1218" s="26"/>
    </row>
    <row r="1219" spans="1:14">
      <c r="A1219" s="26"/>
      <c r="B1219" s="27"/>
      <c r="C1219" s="26"/>
      <c r="D1219" s="27"/>
      <c r="E1219" s="26"/>
      <c r="F1219" s="26"/>
      <c r="G1219" s="28"/>
      <c r="H1219" s="26"/>
      <c r="I1219" s="26"/>
      <c r="J1219" s="26"/>
      <c r="K1219" s="34"/>
      <c r="L1219" s="28"/>
      <c r="M1219" s="28"/>
      <c r="N1219" s="26"/>
    </row>
    <row r="1220" spans="1:14">
      <c r="A1220" s="26"/>
      <c r="B1220" s="27"/>
      <c r="C1220" s="26"/>
      <c r="D1220" s="27"/>
      <c r="E1220" s="26"/>
      <c r="F1220" s="26"/>
      <c r="G1220" s="28"/>
      <c r="H1220" s="26"/>
      <c r="I1220" s="26"/>
      <c r="J1220" s="26"/>
      <c r="K1220" s="34"/>
      <c r="L1220" s="28"/>
      <c r="M1220" s="28"/>
      <c r="N1220" s="26"/>
    </row>
    <row r="1221" spans="1:14">
      <c r="A1221" s="26"/>
      <c r="B1221" s="27"/>
      <c r="C1221" s="26"/>
      <c r="D1221" s="27"/>
      <c r="E1221" s="26"/>
      <c r="F1221" s="26"/>
      <c r="G1221" s="28"/>
      <c r="H1221" s="26"/>
      <c r="I1221" s="26"/>
      <c r="J1221" s="26"/>
      <c r="K1221" s="34"/>
      <c r="L1221" s="28"/>
      <c r="M1221" s="28"/>
      <c r="N1221" s="26"/>
    </row>
    <row r="1222" spans="1:14">
      <c r="A1222" s="26"/>
      <c r="B1222" s="27"/>
      <c r="C1222" s="26"/>
      <c r="D1222" s="27"/>
      <c r="E1222" s="26"/>
      <c r="F1222" s="26"/>
      <c r="G1222" s="28"/>
      <c r="H1222" s="26"/>
      <c r="I1222" s="26"/>
      <c r="J1222" s="26"/>
      <c r="K1222" s="34"/>
      <c r="L1222" s="28"/>
      <c r="M1222" s="28"/>
      <c r="N1222" s="26"/>
    </row>
    <row r="1223" spans="1:14">
      <c r="A1223" s="26"/>
      <c r="B1223" s="27"/>
      <c r="C1223" s="26"/>
      <c r="D1223" s="27"/>
      <c r="E1223" s="26"/>
      <c r="F1223" s="26"/>
      <c r="G1223" s="28"/>
      <c r="H1223" s="26"/>
      <c r="I1223" s="26"/>
      <c r="J1223" s="26"/>
      <c r="K1223" s="34"/>
      <c r="L1223" s="28"/>
      <c r="M1223" s="28"/>
      <c r="N1223" s="26"/>
    </row>
    <row r="1224" spans="1:14">
      <c r="A1224" s="26"/>
      <c r="B1224" s="27"/>
      <c r="C1224" s="26"/>
      <c r="D1224" s="27"/>
      <c r="E1224" s="26"/>
      <c r="F1224" s="26"/>
      <c r="G1224" s="28"/>
      <c r="H1224" s="26"/>
      <c r="I1224" s="26"/>
      <c r="J1224" s="26"/>
      <c r="K1224" s="34"/>
      <c r="L1224" s="28"/>
      <c r="M1224" s="28"/>
      <c r="N1224" s="26"/>
    </row>
    <row r="1225" spans="1:14">
      <c r="A1225" s="26"/>
      <c r="B1225" s="27"/>
      <c r="C1225" s="26"/>
      <c r="D1225" s="27"/>
      <c r="E1225" s="26"/>
      <c r="F1225" s="26"/>
      <c r="G1225" s="28"/>
      <c r="H1225" s="26"/>
      <c r="I1225" s="26"/>
      <c r="J1225" s="26"/>
      <c r="K1225" s="34"/>
      <c r="L1225" s="28"/>
      <c r="M1225" s="28"/>
      <c r="N1225" s="26"/>
    </row>
    <row r="1226" spans="1:14">
      <c r="A1226" s="26"/>
      <c r="B1226" s="27"/>
      <c r="C1226" s="26"/>
      <c r="D1226" s="27"/>
      <c r="E1226" s="26"/>
      <c r="F1226" s="26"/>
      <c r="G1226" s="28"/>
      <c r="H1226" s="26"/>
      <c r="I1226" s="26"/>
      <c r="J1226" s="26"/>
      <c r="K1226" s="34"/>
      <c r="L1226" s="28"/>
      <c r="M1226" s="28"/>
      <c r="N1226" s="26"/>
    </row>
    <row r="1227" spans="1:14">
      <c r="A1227" s="26"/>
      <c r="B1227" s="27"/>
      <c r="C1227" s="26"/>
      <c r="D1227" s="27"/>
      <c r="E1227" s="26"/>
      <c r="F1227" s="26"/>
      <c r="G1227" s="28"/>
      <c r="H1227" s="26"/>
      <c r="I1227" s="26"/>
      <c r="J1227" s="26"/>
      <c r="K1227" s="34"/>
      <c r="L1227" s="28"/>
      <c r="M1227" s="28"/>
      <c r="N1227" s="26"/>
    </row>
    <row r="1228" spans="1:14">
      <c r="A1228" s="26"/>
      <c r="B1228" s="27"/>
      <c r="C1228" s="26"/>
      <c r="D1228" s="27"/>
      <c r="E1228" s="26"/>
      <c r="F1228" s="26"/>
      <c r="G1228" s="28"/>
      <c r="H1228" s="26"/>
      <c r="I1228" s="26"/>
      <c r="J1228" s="26"/>
      <c r="K1228" s="34"/>
      <c r="L1228" s="28"/>
      <c r="M1228" s="28"/>
      <c r="N1228" s="26"/>
    </row>
    <row r="1229" spans="1:14">
      <c r="A1229" s="26"/>
      <c r="B1229" s="27"/>
      <c r="C1229" s="26"/>
      <c r="D1229" s="27"/>
      <c r="E1229" s="26"/>
      <c r="F1229" s="26"/>
      <c r="G1229" s="28"/>
      <c r="H1229" s="26"/>
      <c r="I1229" s="26"/>
      <c r="J1229" s="26"/>
      <c r="K1229" s="34"/>
      <c r="L1229" s="28"/>
      <c r="M1229" s="28"/>
      <c r="N1229" s="26"/>
    </row>
    <row r="1230" spans="1:14">
      <c r="A1230" s="26"/>
      <c r="B1230" s="27"/>
      <c r="C1230" s="26"/>
      <c r="D1230" s="27"/>
      <c r="E1230" s="26"/>
      <c r="F1230" s="26"/>
      <c r="G1230" s="28"/>
      <c r="H1230" s="26"/>
      <c r="I1230" s="26"/>
      <c r="J1230" s="26"/>
      <c r="K1230" s="34"/>
      <c r="L1230" s="28"/>
      <c r="M1230" s="28"/>
      <c r="N1230" s="26"/>
    </row>
    <row r="1231" spans="1:14">
      <c r="A1231" s="26"/>
      <c r="B1231" s="27"/>
      <c r="C1231" s="26"/>
      <c r="D1231" s="27"/>
      <c r="E1231" s="26"/>
      <c r="F1231" s="26"/>
      <c r="G1231" s="28"/>
      <c r="H1231" s="26"/>
      <c r="I1231" s="26"/>
      <c r="J1231" s="26"/>
      <c r="K1231" s="34"/>
      <c r="L1231" s="28"/>
      <c r="M1231" s="28"/>
      <c r="N1231" s="26"/>
    </row>
    <row r="1232" spans="1:14">
      <c r="A1232" s="26"/>
      <c r="B1232" s="27"/>
      <c r="C1232" s="26"/>
      <c r="D1232" s="27"/>
      <c r="E1232" s="26"/>
      <c r="F1232" s="26"/>
      <c r="G1232" s="28"/>
      <c r="H1232" s="26"/>
      <c r="I1232" s="26"/>
      <c r="J1232" s="26"/>
      <c r="K1232" s="34"/>
      <c r="L1232" s="28"/>
      <c r="M1232" s="28"/>
      <c r="N1232" s="26"/>
    </row>
    <row r="1233" spans="1:14">
      <c r="A1233" s="26"/>
      <c r="B1233" s="27"/>
      <c r="C1233" s="26"/>
      <c r="D1233" s="27"/>
      <c r="E1233" s="26"/>
      <c r="F1233" s="26"/>
      <c r="G1233" s="28"/>
      <c r="H1233" s="26"/>
      <c r="I1233" s="26"/>
      <c r="J1233" s="26"/>
      <c r="K1233" s="34"/>
      <c r="L1233" s="28"/>
      <c r="M1233" s="28"/>
      <c r="N1233" s="26"/>
    </row>
    <row r="1234" spans="1:14">
      <c r="A1234" s="26"/>
      <c r="B1234" s="27"/>
      <c r="C1234" s="26"/>
      <c r="D1234" s="27"/>
      <c r="E1234" s="26"/>
      <c r="F1234" s="26"/>
      <c r="G1234" s="28"/>
      <c r="H1234" s="26"/>
      <c r="I1234" s="26"/>
      <c r="J1234" s="26"/>
      <c r="K1234" s="34"/>
      <c r="L1234" s="28"/>
      <c r="M1234" s="28"/>
      <c r="N1234" s="26"/>
    </row>
    <row r="1235" spans="1:14">
      <c r="A1235" s="26"/>
      <c r="B1235" s="27"/>
      <c r="C1235" s="26"/>
      <c r="D1235" s="27"/>
      <c r="E1235" s="26"/>
      <c r="F1235" s="26"/>
      <c r="G1235" s="28"/>
      <c r="H1235" s="26"/>
      <c r="I1235" s="26"/>
      <c r="J1235" s="26"/>
      <c r="K1235" s="34"/>
      <c r="L1235" s="28"/>
      <c r="M1235" s="28"/>
      <c r="N1235" s="26"/>
    </row>
    <row r="1236" spans="1:14">
      <c r="A1236" s="26"/>
      <c r="B1236" s="27"/>
      <c r="C1236" s="26"/>
      <c r="D1236" s="27"/>
      <c r="E1236" s="26"/>
      <c r="F1236" s="26"/>
      <c r="G1236" s="28"/>
      <c r="H1236" s="26"/>
      <c r="I1236" s="26"/>
      <c r="J1236" s="26"/>
      <c r="K1236" s="34"/>
      <c r="L1236" s="28"/>
      <c r="M1236" s="28"/>
      <c r="N1236" s="26"/>
    </row>
    <row r="1237" spans="1:14">
      <c r="A1237" s="26"/>
      <c r="B1237" s="27"/>
      <c r="C1237" s="26"/>
      <c r="D1237" s="27"/>
      <c r="E1237" s="26"/>
      <c r="F1237" s="26"/>
      <c r="G1237" s="28"/>
      <c r="H1237" s="26"/>
      <c r="I1237" s="26"/>
      <c r="J1237" s="26"/>
      <c r="K1237" s="34"/>
      <c r="L1237" s="28"/>
      <c r="M1237" s="28"/>
      <c r="N1237" s="26"/>
    </row>
    <row r="1238" spans="1:14">
      <c r="A1238" s="26"/>
      <c r="B1238" s="27"/>
      <c r="C1238" s="26"/>
      <c r="D1238" s="27"/>
      <c r="E1238" s="26"/>
      <c r="F1238" s="26"/>
      <c r="G1238" s="28"/>
      <c r="H1238" s="26"/>
      <c r="I1238" s="26"/>
      <c r="J1238" s="26"/>
      <c r="K1238" s="34"/>
      <c r="L1238" s="28"/>
      <c r="M1238" s="28"/>
      <c r="N1238" s="26"/>
    </row>
    <row r="1239" spans="1:14">
      <c r="A1239" s="26"/>
      <c r="B1239" s="27"/>
      <c r="C1239" s="26"/>
      <c r="D1239" s="27"/>
      <c r="E1239" s="26"/>
      <c r="F1239" s="26"/>
      <c r="G1239" s="28"/>
      <c r="H1239" s="26"/>
      <c r="I1239" s="26"/>
      <c r="J1239" s="26"/>
      <c r="K1239" s="34"/>
      <c r="L1239" s="28"/>
      <c r="M1239" s="28"/>
      <c r="N1239" s="26"/>
    </row>
    <row r="1240" spans="1:14">
      <c r="A1240" s="26"/>
      <c r="B1240" s="27"/>
      <c r="C1240" s="26"/>
      <c r="D1240" s="27"/>
      <c r="E1240" s="26"/>
      <c r="F1240" s="26"/>
      <c r="G1240" s="28"/>
      <c r="H1240" s="26"/>
      <c r="I1240" s="26"/>
      <c r="J1240" s="26"/>
      <c r="K1240" s="34"/>
      <c r="L1240" s="28"/>
      <c r="M1240" s="28"/>
      <c r="N1240" s="26"/>
    </row>
    <row r="1241" spans="1:14">
      <c r="A1241" s="26"/>
      <c r="B1241" s="27"/>
      <c r="C1241" s="26"/>
      <c r="D1241" s="27"/>
      <c r="E1241" s="26"/>
      <c r="F1241" s="26"/>
      <c r="G1241" s="28"/>
      <c r="H1241" s="26"/>
      <c r="I1241" s="26"/>
      <c r="J1241" s="26"/>
      <c r="K1241" s="34"/>
      <c r="L1241" s="28"/>
      <c r="M1241" s="28"/>
      <c r="N1241" s="26"/>
    </row>
    <row r="1242" spans="1:14">
      <c r="A1242" s="26"/>
      <c r="B1242" s="27"/>
      <c r="C1242" s="26"/>
      <c r="D1242" s="27"/>
      <c r="E1242" s="26"/>
      <c r="F1242" s="26"/>
      <c r="G1242" s="28"/>
      <c r="H1242" s="26"/>
      <c r="I1242" s="26"/>
      <c r="J1242" s="26"/>
      <c r="K1242" s="34"/>
      <c r="L1242" s="28"/>
      <c r="M1242" s="28"/>
      <c r="N1242" s="26"/>
    </row>
    <row r="1243" spans="1:14">
      <c r="A1243" s="26"/>
      <c r="B1243" s="27"/>
      <c r="C1243" s="26"/>
      <c r="D1243" s="27"/>
      <c r="E1243" s="26"/>
      <c r="F1243" s="26"/>
      <c r="G1243" s="28"/>
      <c r="H1243" s="26"/>
      <c r="I1243" s="26"/>
      <c r="J1243" s="26"/>
      <c r="K1243" s="34"/>
      <c r="L1243" s="28"/>
      <c r="M1243" s="28"/>
      <c r="N1243" s="26"/>
    </row>
    <row r="1244" spans="1:14">
      <c r="A1244" s="26"/>
      <c r="B1244" s="27"/>
      <c r="C1244" s="26"/>
      <c r="D1244" s="27"/>
      <c r="E1244" s="26"/>
      <c r="F1244" s="26"/>
      <c r="G1244" s="28"/>
      <c r="H1244" s="26"/>
      <c r="I1244" s="26"/>
      <c r="J1244" s="26"/>
      <c r="K1244" s="34"/>
      <c r="L1244" s="28"/>
      <c r="M1244" s="28"/>
      <c r="N1244" s="26"/>
    </row>
    <row r="1245" spans="1:14">
      <c r="A1245" s="26"/>
      <c r="B1245" s="27"/>
      <c r="C1245" s="26"/>
      <c r="D1245" s="27"/>
      <c r="E1245" s="26"/>
      <c r="F1245" s="26"/>
      <c r="G1245" s="28"/>
      <c r="H1245" s="26"/>
      <c r="I1245" s="26"/>
      <c r="J1245" s="26"/>
      <c r="K1245" s="34"/>
      <c r="L1245" s="28"/>
      <c r="M1245" s="28"/>
      <c r="N1245" s="26"/>
    </row>
    <row r="1246" spans="1:14">
      <c r="A1246" s="26"/>
      <c r="B1246" s="27"/>
      <c r="C1246" s="26"/>
      <c r="D1246" s="27"/>
      <c r="E1246" s="26"/>
      <c r="F1246" s="26"/>
      <c r="G1246" s="28"/>
      <c r="H1246" s="26"/>
      <c r="I1246" s="26"/>
      <c r="J1246" s="26"/>
      <c r="K1246" s="34"/>
      <c r="L1246" s="28"/>
      <c r="M1246" s="28"/>
      <c r="N1246" s="26"/>
    </row>
    <row r="1247" spans="1:14">
      <c r="A1247" s="26"/>
      <c r="B1247" s="27"/>
      <c r="C1247" s="26"/>
      <c r="D1247" s="27"/>
      <c r="E1247" s="26"/>
      <c r="F1247" s="26"/>
      <c r="G1247" s="28"/>
      <c r="H1247" s="26"/>
      <c r="I1247" s="26"/>
      <c r="J1247" s="26"/>
      <c r="K1247" s="34"/>
      <c r="L1247" s="28"/>
      <c r="M1247" s="28"/>
      <c r="N1247" s="26"/>
    </row>
    <row r="1248" spans="1:14">
      <c r="A1248" s="26"/>
      <c r="B1248" s="27"/>
      <c r="C1248" s="26"/>
      <c r="D1248" s="27"/>
      <c r="E1248" s="26"/>
      <c r="F1248" s="26"/>
      <c r="G1248" s="28"/>
      <c r="H1248" s="26"/>
      <c r="I1248" s="26"/>
      <c r="J1248" s="26"/>
      <c r="K1248" s="34"/>
      <c r="L1248" s="28"/>
      <c r="M1248" s="28"/>
      <c r="N1248" s="26"/>
    </row>
    <row r="1249" spans="1:14">
      <c r="A1249" s="26"/>
      <c r="B1249" s="27"/>
      <c r="C1249" s="26"/>
      <c r="D1249" s="27"/>
      <c r="E1249" s="26"/>
      <c r="F1249" s="26"/>
      <c r="G1249" s="28"/>
      <c r="H1249" s="26"/>
      <c r="I1249" s="26"/>
      <c r="J1249" s="26"/>
      <c r="K1249" s="34"/>
      <c r="L1249" s="28"/>
      <c r="M1249" s="28"/>
      <c r="N1249" s="26"/>
    </row>
    <row r="1250" spans="1:14">
      <c r="A1250" s="26"/>
      <c r="B1250" s="27"/>
      <c r="C1250" s="26"/>
      <c r="D1250" s="27"/>
      <c r="E1250" s="26"/>
      <c r="F1250" s="26"/>
      <c r="G1250" s="28"/>
      <c r="H1250" s="26"/>
      <c r="I1250" s="26"/>
      <c r="J1250" s="26"/>
      <c r="K1250" s="34"/>
      <c r="L1250" s="28"/>
      <c r="M1250" s="28"/>
      <c r="N1250" s="26"/>
    </row>
    <row r="1251" spans="1:14">
      <c r="A1251" s="26"/>
      <c r="B1251" s="27"/>
      <c r="C1251" s="26"/>
      <c r="D1251" s="27"/>
      <c r="E1251" s="26"/>
      <c r="F1251" s="26"/>
      <c r="G1251" s="28"/>
      <c r="H1251" s="26"/>
      <c r="I1251" s="26"/>
      <c r="J1251" s="26"/>
      <c r="K1251" s="34"/>
      <c r="L1251" s="28"/>
      <c r="M1251" s="28"/>
      <c r="N1251" s="26"/>
    </row>
    <row r="1252" spans="1:14">
      <c r="A1252" s="26"/>
      <c r="B1252" s="27"/>
      <c r="C1252" s="26"/>
      <c r="D1252" s="27"/>
      <c r="E1252" s="26"/>
      <c r="F1252" s="26"/>
      <c r="G1252" s="28"/>
      <c r="H1252" s="26"/>
      <c r="I1252" s="26"/>
      <c r="J1252" s="26"/>
      <c r="K1252" s="34"/>
      <c r="L1252" s="28"/>
      <c r="M1252" s="28"/>
      <c r="N1252" s="26"/>
    </row>
    <row r="1253" spans="1:14">
      <c r="A1253" s="26"/>
      <c r="B1253" s="27"/>
      <c r="C1253" s="26"/>
      <c r="D1253" s="27"/>
      <c r="E1253" s="26"/>
      <c r="F1253" s="26"/>
      <c r="G1253" s="28"/>
      <c r="H1253" s="26"/>
      <c r="I1253" s="26"/>
      <c r="J1253" s="26"/>
      <c r="K1253" s="34"/>
      <c r="L1253" s="28"/>
      <c r="M1253" s="28"/>
      <c r="N1253" s="26"/>
    </row>
    <row r="1254" spans="1:14">
      <c r="A1254" s="26"/>
      <c r="B1254" s="27"/>
      <c r="C1254" s="26"/>
      <c r="D1254" s="27"/>
      <c r="E1254" s="26"/>
      <c r="F1254" s="26"/>
      <c r="G1254" s="28"/>
      <c r="H1254" s="26"/>
      <c r="I1254" s="26"/>
      <c r="J1254" s="26"/>
      <c r="K1254" s="34"/>
      <c r="L1254" s="28"/>
      <c r="M1254" s="28"/>
      <c r="N1254" s="26"/>
    </row>
    <row r="1255" spans="1:14">
      <c r="A1255" s="26"/>
      <c r="B1255" s="27"/>
      <c r="C1255" s="26"/>
      <c r="D1255" s="27"/>
      <c r="E1255" s="26"/>
      <c r="F1255" s="26"/>
      <c r="G1255" s="28"/>
      <c r="H1255" s="26"/>
      <c r="I1255" s="26"/>
      <c r="J1255" s="26"/>
      <c r="K1255" s="34"/>
      <c r="L1255" s="28"/>
      <c r="M1255" s="28"/>
      <c r="N1255" s="26"/>
    </row>
    <row r="1256" spans="1:14">
      <c r="A1256" s="26"/>
      <c r="B1256" s="27"/>
      <c r="C1256" s="26"/>
      <c r="D1256" s="27"/>
      <c r="E1256" s="26"/>
      <c r="F1256" s="26"/>
      <c r="G1256" s="28"/>
      <c r="H1256" s="26"/>
      <c r="I1256" s="26"/>
      <c r="J1256" s="26"/>
      <c r="K1256" s="34"/>
      <c r="L1256" s="28"/>
      <c r="M1256" s="28"/>
      <c r="N1256" s="26"/>
    </row>
    <row r="1257" spans="1:14">
      <c r="A1257" s="26"/>
      <c r="B1257" s="27"/>
      <c r="C1257" s="26"/>
      <c r="D1257" s="27"/>
      <c r="E1257" s="26"/>
      <c r="F1257" s="26"/>
      <c r="G1257" s="28"/>
      <c r="H1257" s="26"/>
      <c r="I1257" s="26"/>
      <c r="J1257" s="26"/>
      <c r="K1257" s="34"/>
      <c r="L1257" s="28"/>
      <c r="M1257" s="28"/>
      <c r="N1257" s="26"/>
    </row>
    <row r="1258" spans="1:14">
      <c r="A1258" s="26"/>
      <c r="B1258" s="27"/>
      <c r="C1258" s="26"/>
      <c r="D1258" s="27"/>
      <c r="E1258" s="26"/>
      <c r="F1258" s="26"/>
      <c r="G1258" s="28"/>
      <c r="H1258" s="26"/>
      <c r="I1258" s="26"/>
      <c r="J1258" s="26"/>
      <c r="K1258" s="34"/>
      <c r="L1258" s="28"/>
      <c r="M1258" s="28"/>
      <c r="N1258" s="26"/>
    </row>
    <row r="1259" spans="1:14">
      <c r="A1259" s="26"/>
      <c r="B1259" s="27"/>
      <c r="C1259" s="26"/>
      <c r="D1259" s="27"/>
      <c r="E1259" s="26"/>
      <c r="F1259" s="26"/>
      <c r="G1259" s="28"/>
      <c r="H1259" s="26"/>
      <c r="I1259" s="26"/>
      <c r="J1259" s="26"/>
      <c r="K1259" s="34"/>
      <c r="L1259" s="28"/>
      <c r="M1259" s="28"/>
      <c r="N1259" s="26"/>
    </row>
    <row r="1260" spans="1:14">
      <c r="A1260" s="26"/>
      <c r="B1260" s="27"/>
      <c r="C1260" s="26"/>
      <c r="D1260" s="27"/>
      <c r="E1260" s="26"/>
      <c r="F1260" s="26"/>
      <c r="G1260" s="28"/>
      <c r="H1260" s="26"/>
      <c r="I1260" s="26"/>
      <c r="J1260" s="26"/>
      <c r="K1260" s="34"/>
      <c r="L1260" s="28"/>
      <c r="M1260" s="28"/>
      <c r="N1260" s="26"/>
    </row>
    <row r="1261" spans="1:14">
      <c r="A1261" s="26"/>
      <c r="B1261" s="27"/>
      <c r="C1261" s="26"/>
      <c r="D1261" s="27"/>
      <c r="E1261" s="26"/>
      <c r="F1261" s="26"/>
      <c r="G1261" s="28"/>
      <c r="H1261" s="26"/>
      <c r="I1261" s="26"/>
      <c r="J1261" s="26"/>
      <c r="K1261" s="34"/>
      <c r="L1261" s="28"/>
      <c r="M1261" s="28"/>
      <c r="N1261" s="26"/>
    </row>
    <row r="1262" spans="1:14">
      <c r="A1262" s="26"/>
      <c r="B1262" s="27"/>
      <c r="C1262" s="26"/>
      <c r="D1262" s="27"/>
      <c r="E1262" s="26"/>
      <c r="F1262" s="26"/>
      <c r="G1262" s="28"/>
      <c r="H1262" s="26"/>
      <c r="I1262" s="26"/>
      <c r="J1262" s="26"/>
      <c r="K1262" s="34"/>
      <c r="L1262" s="28"/>
      <c r="M1262" s="28"/>
      <c r="N1262" s="26"/>
    </row>
    <row r="1263" spans="1:14">
      <c r="A1263" s="26"/>
      <c r="B1263" s="27"/>
      <c r="C1263" s="26"/>
      <c r="D1263" s="27"/>
      <c r="E1263" s="26"/>
      <c r="F1263" s="26"/>
      <c r="G1263" s="28"/>
      <c r="H1263" s="26"/>
      <c r="I1263" s="26"/>
      <c r="J1263" s="26"/>
      <c r="K1263" s="34"/>
      <c r="L1263" s="28"/>
      <c r="M1263" s="28"/>
      <c r="N1263" s="26"/>
    </row>
    <row r="1264" spans="1:14">
      <c r="A1264" s="26"/>
      <c r="B1264" s="27"/>
      <c r="C1264" s="26"/>
      <c r="D1264" s="27"/>
      <c r="E1264" s="26"/>
      <c r="F1264" s="26"/>
      <c r="G1264" s="28"/>
      <c r="H1264" s="26"/>
      <c r="I1264" s="26"/>
      <c r="J1264" s="26"/>
      <c r="K1264" s="34"/>
      <c r="L1264" s="28"/>
      <c r="M1264" s="28"/>
      <c r="N1264" s="26"/>
    </row>
    <row r="1265" spans="1:14">
      <c r="A1265" s="26"/>
      <c r="B1265" s="27"/>
      <c r="C1265" s="26"/>
      <c r="D1265" s="27"/>
      <c r="E1265" s="26"/>
      <c r="F1265" s="26"/>
      <c r="G1265" s="28"/>
      <c r="H1265" s="26"/>
      <c r="I1265" s="26"/>
      <c r="J1265" s="26"/>
      <c r="K1265" s="34"/>
      <c r="L1265" s="28"/>
      <c r="M1265" s="28"/>
      <c r="N1265" s="26"/>
    </row>
    <row r="1266" spans="1:14">
      <c r="A1266" s="26"/>
      <c r="B1266" s="27"/>
      <c r="C1266" s="26"/>
      <c r="D1266" s="27"/>
      <c r="E1266" s="26"/>
      <c r="F1266" s="26"/>
      <c r="G1266" s="28"/>
      <c r="H1266" s="26"/>
      <c r="I1266" s="26"/>
      <c r="J1266" s="26"/>
      <c r="K1266" s="34"/>
      <c r="L1266" s="28"/>
      <c r="M1266" s="28"/>
      <c r="N1266" s="26"/>
    </row>
    <row r="1267" spans="1:14">
      <c r="A1267" s="26"/>
      <c r="B1267" s="27"/>
      <c r="C1267" s="26"/>
      <c r="D1267" s="27"/>
      <c r="E1267" s="26"/>
      <c r="F1267" s="26"/>
      <c r="G1267" s="28"/>
      <c r="H1267" s="26"/>
      <c r="I1267" s="26"/>
      <c r="J1267" s="26"/>
      <c r="K1267" s="34"/>
      <c r="L1267" s="28"/>
      <c r="M1267" s="28"/>
      <c r="N1267" s="26"/>
    </row>
    <row r="1268" spans="1:14">
      <c r="A1268" s="26"/>
      <c r="B1268" s="27"/>
      <c r="C1268" s="26"/>
      <c r="D1268" s="27"/>
      <c r="E1268" s="26"/>
      <c r="F1268" s="26"/>
      <c r="G1268" s="28"/>
      <c r="H1268" s="26"/>
      <c r="I1268" s="26"/>
      <c r="J1268" s="26"/>
      <c r="K1268" s="34"/>
      <c r="L1268" s="28"/>
      <c r="M1268" s="28"/>
      <c r="N1268" s="26"/>
    </row>
    <row r="1269" spans="1:14">
      <c r="A1269" s="26"/>
      <c r="B1269" s="27"/>
      <c r="C1269" s="26"/>
      <c r="D1269" s="27"/>
      <c r="E1269" s="26"/>
      <c r="F1269" s="26"/>
      <c r="G1269" s="28"/>
      <c r="H1269" s="26"/>
      <c r="I1269" s="26"/>
      <c r="J1269" s="26"/>
      <c r="K1269" s="34"/>
      <c r="L1269" s="28"/>
      <c r="M1269" s="28"/>
      <c r="N1269" s="26"/>
    </row>
    <row r="1270" spans="1:14">
      <c r="A1270" s="26"/>
      <c r="B1270" s="27"/>
      <c r="C1270" s="26"/>
      <c r="D1270" s="27"/>
      <c r="E1270" s="26"/>
      <c r="F1270" s="26"/>
      <c r="G1270" s="28"/>
      <c r="H1270" s="26"/>
      <c r="I1270" s="26"/>
      <c r="J1270" s="26"/>
      <c r="K1270" s="34"/>
      <c r="L1270" s="28"/>
      <c r="M1270" s="28"/>
      <c r="N1270" s="26"/>
    </row>
    <row r="1271" spans="1:14">
      <c r="A1271" s="26"/>
      <c r="B1271" s="27"/>
      <c r="C1271" s="26"/>
      <c r="D1271" s="27"/>
      <c r="E1271" s="26"/>
      <c r="F1271" s="26"/>
      <c r="G1271" s="28"/>
      <c r="H1271" s="26"/>
      <c r="I1271" s="26"/>
      <c r="J1271" s="26"/>
      <c r="K1271" s="34"/>
      <c r="L1271" s="28"/>
      <c r="M1271" s="28"/>
      <c r="N1271" s="26"/>
    </row>
    <row r="1272" spans="1:14">
      <c r="A1272" s="26"/>
      <c r="B1272" s="27"/>
      <c r="C1272" s="26"/>
      <c r="D1272" s="27"/>
      <c r="E1272" s="26"/>
      <c r="F1272" s="26"/>
      <c r="G1272" s="28"/>
      <c r="H1272" s="26"/>
      <c r="I1272" s="26"/>
      <c r="J1272" s="26"/>
      <c r="K1272" s="34"/>
      <c r="L1272" s="28"/>
      <c r="M1272" s="28"/>
      <c r="N1272" s="26"/>
    </row>
    <row r="1273" spans="1:14">
      <c r="A1273" s="26"/>
      <c r="B1273" s="27"/>
      <c r="C1273" s="26"/>
      <c r="D1273" s="27"/>
      <c r="E1273" s="26"/>
      <c r="F1273" s="26"/>
      <c r="G1273" s="28"/>
      <c r="H1273" s="26"/>
      <c r="I1273" s="26"/>
      <c r="J1273" s="26"/>
      <c r="K1273" s="34"/>
      <c r="L1273" s="28"/>
      <c r="M1273" s="28"/>
      <c r="N1273" s="26"/>
    </row>
    <row r="1274" spans="1:14">
      <c r="A1274" s="26"/>
      <c r="B1274" s="27"/>
      <c r="C1274" s="26"/>
      <c r="D1274" s="27"/>
      <c r="E1274" s="26"/>
      <c r="F1274" s="26"/>
      <c r="G1274" s="28"/>
      <c r="H1274" s="26"/>
      <c r="I1274" s="26"/>
      <c r="J1274" s="26"/>
      <c r="K1274" s="34"/>
      <c r="L1274" s="28"/>
      <c r="M1274" s="28"/>
      <c r="N1274" s="26"/>
    </row>
    <row r="1275" spans="1:14">
      <c r="A1275" s="26"/>
      <c r="B1275" s="27"/>
      <c r="C1275" s="26"/>
      <c r="D1275" s="27"/>
      <c r="E1275" s="26"/>
      <c r="F1275" s="26"/>
      <c r="G1275" s="28"/>
      <c r="H1275" s="26"/>
      <c r="I1275" s="26"/>
      <c r="J1275" s="26"/>
      <c r="K1275" s="34"/>
      <c r="L1275" s="28"/>
      <c r="M1275" s="28"/>
      <c r="N1275" s="26"/>
    </row>
    <row r="1276" spans="1:14">
      <c r="A1276" s="26"/>
      <c r="B1276" s="27"/>
      <c r="C1276" s="26"/>
      <c r="D1276" s="27"/>
      <c r="E1276" s="26"/>
      <c r="F1276" s="26"/>
      <c r="G1276" s="28"/>
      <c r="H1276" s="26"/>
      <c r="I1276" s="26"/>
      <c r="J1276" s="26"/>
      <c r="K1276" s="34"/>
      <c r="L1276" s="28"/>
      <c r="M1276" s="28"/>
      <c r="N1276" s="26"/>
    </row>
    <row r="1277" spans="1:14">
      <c r="A1277" s="26"/>
      <c r="B1277" s="27"/>
      <c r="C1277" s="26"/>
      <c r="D1277" s="27"/>
      <c r="E1277" s="26"/>
      <c r="F1277" s="26"/>
      <c r="G1277" s="28"/>
      <c r="H1277" s="26"/>
      <c r="I1277" s="26"/>
      <c r="J1277" s="26"/>
      <c r="K1277" s="34"/>
      <c r="L1277" s="28"/>
      <c r="M1277" s="28"/>
      <c r="N1277" s="26"/>
    </row>
    <row r="1278" spans="1:14">
      <c r="A1278" s="26"/>
      <c r="B1278" s="27"/>
      <c r="C1278" s="26"/>
      <c r="D1278" s="27"/>
      <c r="E1278" s="26"/>
      <c r="F1278" s="26"/>
      <c r="G1278" s="28"/>
      <c r="H1278" s="26"/>
      <c r="I1278" s="26"/>
      <c r="J1278" s="26"/>
      <c r="K1278" s="34"/>
      <c r="L1278" s="28"/>
      <c r="M1278" s="28"/>
      <c r="N1278" s="26"/>
    </row>
    <row r="1279" spans="1:14">
      <c r="A1279" s="26"/>
      <c r="B1279" s="27"/>
      <c r="C1279" s="26"/>
      <c r="D1279" s="27"/>
      <c r="E1279" s="26"/>
      <c r="F1279" s="26"/>
      <c r="G1279" s="28"/>
      <c r="H1279" s="26"/>
      <c r="I1279" s="26"/>
      <c r="J1279" s="26"/>
      <c r="K1279" s="34"/>
      <c r="L1279" s="28"/>
      <c r="M1279" s="28"/>
      <c r="N1279" s="26"/>
    </row>
    <row r="1280" spans="1:14">
      <c r="A1280" s="26"/>
      <c r="B1280" s="27"/>
      <c r="C1280" s="26"/>
      <c r="D1280" s="27"/>
      <c r="E1280" s="26"/>
      <c r="F1280" s="26"/>
      <c r="G1280" s="28"/>
      <c r="H1280" s="26"/>
      <c r="I1280" s="26"/>
      <c r="J1280" s="26"/>
      <c r="K1280" s="34"/>
      <c r="L1280" s="28"/>
      <c r="M1280" s="28"/>
      <c r="N1280" s="26"/>
    </row>
    <row r="1281" spans="1:14">
      <c r="A1281" s="26"/>
      <c r="B1281" s="27"/>
      <c r="C1281" s="26"/>
      <c r="D1281" s="27"/>
      <c r="E1281" s="26"/>
      <c r="F1281" s="26"/>
      <c r="G1281" s="28"/>
      <c r="H1281" s="26"/>
      <c r="I1281" s="26"/>
      <c r="J1281" s="26"/>
      <c r="K1281" s="34"/>
      <c r="L1281" s="28"/>
      <c r="M1281" s="28"/>
      <c r="N1281" s="26"/>
    </row>
    <row r="1282" spans="1:14">
      <c r="A1282" s="26"/>
      <c r="B1282" s="27"/>
      <c r="C1282" s="26"/>
      <c r="D1282" s="27"/>
      <c r="E1282" s="26"/>
      <c r="F1282" s="26"/>
      <c r="G1282" s="28"/>
      <c r="H1282" s="26"/>
      <c r="I1282" s="26"/>
      <c r="J1282" s="26"/>
      <c r="K1282" s="34"/>
      <c r="L1282" s="28"/>
      <c r="M1282" s="28"/>
      <c r="N1282" s="26"/>
    </row>
    <row r="1283" spans="1:14">
      <c r="A1283" s="26"/>
      <c r="B1283" s="27"/>
      <c r="C1283" s="26"/>
      <c r="D1283" s="27"/>
      <c r="E1283" s="26"/>
      <c r="F1283" s="26"/>
      <c r="G1283" s="28"/>
      <c r="H1283" s="26"/>
      <c r="I1283" s="26"/>
      <c r="J1283" s="26"/>
      <c r="K1283" s="34"/>
      <c r="L1283" s="28"/>
      <c r="M1283" s="28"/>
      <c r="N1283" s="26"/>
    </row>
    <row r="1284" spans="1:14">
      <c r="A1284" s="26"/>
      <c r="B1284" s="27"/>
      <c r="C1284" s="26"/>
      <c r="D1284" s="27"/>
      <c r="E1284" s="26"/>
      <c r="F1284" s="26"/>
      <c r="G1284" s="28"/>
      <c r="H1284" s="26"/>
      <c r="I1284" s="26"/>
      <c r="J1284" s="26"/>
      <c r="K1284" s="34"/>
      <c r="L1284" s="28"/>
      <c r="M1284" s="28"/>
      <c r="N1284" s="26"/>
    </row>
    <row r="1285" spans="1:14">
      <c r="A1285" s="26"/>
      <c r="B1285" s="27"/>
      <c r="C1285" s="26"/>
      <c r="D1285" s="27"/>
      <c r="E1285" s="26"/>
      <c r="F1285" s="26"/>
      <c r="G1285" s="28"/>
      <c r="H1285" s="26"/>
      <c r="I1285" s="26"/>
      <c r="J1285" s="26"/>
      <c r="K1285" s="34"/>
      <c r="L1285" s="28"/>
      <c r="M1285" s="28"/>
      <c r="N1285" s="26"/>
    </row>
    <row r="1286" spans="1:14">
      <c r="A1286" s="26"/>
      <c r="B1286" s="27"/>
      <c r="C1286" s="26"/>
      <c r="D1286" s="27"/>
      <c r="E1286" s="26"/>
      <c r="F1286" s="26"/>
      <c r="G1286" s="28"/>
      <c r="H1286" s="26"/>
      <c r="I1286" s="26"/>
      <c r="J1286" s="26"/>
      <c r="K1286" s="34"/>
      <c r="L1286" s="28"/>
      <c r="M1286" s="28"/>
      <c r="N1286" s="26"/>
    </row>
    <row r="1287" spans="1:14">
      <c r="A1287" s="26"/>
      <c r="B1287" s="27"/>
      <c r="C1287" s="26"/>
      <c r="D1287" s="27"/>
      <c r="E1287" s="26"/>
      <c r="F1287" s="26"/>
      <c r="G1287" s="28"/>
      <c r="H1287" s="26"/>
      <c r="I1287" s="26"/>
      <c r="J1287" s="26"/>
      <c r="K1287" s="34"/>
      <c r="L1287" s="28"/>
      <c r="M1287" s="28"/>
      <c r="N1287" s="26"/>
    </row>
    <row r="1288" spans="1:14">
      <c r="A1288" s="26"/>
      <c r="B1288" s="27"/>
      <c r="C1288" s="26"/>
      <c r="D1288" s="27"/>
      <c r="E1288" s="26"/>
      <c r="F1288" s="26"/>
      <c r="G1288" s="28"/>
      <c r="H1288" s="26"/>
      <c r="I1288" s="26"/>
      <c r="J1288" s="26"/>
      <c r="K1288" s="34"/>
      <c r="L1288" s="28"/>
      <c r="M1288" s="28"/>
      <c r="N1288" s="26"/>
    </row>
    <row r="1289" spans="1:14">
      <c r="A1289" s="26"/>
      <c r="B1289" s="27"/>
      <c r="C1289" s="26"/>
      <c r="D1289" s="27"/>
      <c r="E1289" s="26"/>
      <c r="F1289" s="26"/>
      <c r="G1289" s="28"/>
      <c r="H1289" s="26"/>
      <c r="I1289" s="26"/>
      <c r="J1289" s="26"/>
      <c r="K1289" s="34"/>
      <c r="L1289" s="28"/>
      <c r="M1289" s="28"/>
      <c r="N1289" s="26"/>
    </row>
    <row r="1290" spans="1:14">
      <c r="A1290" s="26"/>
      <c r="B1290" s="27"/>
      <c r="C1290" s="26"/>
      <c r="D1290" s="27"/>
      <c r="E1290" s="26"/>
      <c r="F1290" s="26"/>
      <c r="G1290" s="28"/>
      <c r="H1290" s="26"/>
      <c r="I1290" s="26"/>
      <c r="J1290" s="26"/>
      <c r="K1290" s="34"/>
      <c r="L1290" s="28"/>
      <c r="M1290" s="28"/>
      <c r="N1290" s="26"/>
    </row>
    <row r="1291" spans="1:14">
      <c r="A1291" s="26"/>
      <c r="B1291" s="27"/>
      <c r="C1291" s="26"/>
      <c r="D1291" s="27"/>
      <c r="E1291" s="26"/>
      <c r="F1291" s="26"/>
      <c r="G1291" s="28"/>
      <c r="H1291" s="26"/>
      <c r="I1291" s="26"/>
      <c r="J1291" s="26"/>
      <c r="K1291" s="34"/>
      <c r="L1291" s="28"/>
      <c r="M1291" s="28"/>
      <c r="N1291" s="26"/>
    </row>
    <row r="1292" spans="1:14">
      <c r="A1292" s="26"/>
      <c r="B1292" s="27"/>
      <c r="C1292" s="26"/>
      <c r="D1292" s="27"/>
      <c r="E1292" s="26"/>
      <c r="F1292" s="26"/>
      <c r="G1292" s="28"/>
      <c r="H1292" s="26"/>
      <c r="I1292" s="26"/>
      <c r="J1292" s="26"/>
      <c r="K1292" s="34"/>
      <c r="L1292" s="28"/>
      <c r="M1292" s="28"/>
      <c r="N1292" s="26"/>
    </row>
    <row r="1293" spans="1:14">
      <c r="A1293" s="26"/>
      <c r="B1293" s="27"/>
      <c r="C1293" s="26"/>
      <c r="D1293" s="27"/>
      <c r="E1293" s="26"/>
      <c r="F1293" s="26"/>
      <c r="G1293" s="28"/>
      <c r="H1293" s="26"/>
      <c r="I1293" s="26"/>
      <c r="J1293" s="26"/>
      <c r="K1293" s="34"/>
      <c r="L1293" s="28"/>
      <c r="M1293" s="28"/>
      <c r="N1293" s="26"/>
    </row>
    <row r="1294" spans="1:14">
      <c r="A1294" s="26"/>
      <c r="B1294" s="27"/>
      <c r="C1294" s="26"/>
      <c r="D1294" s="27"/>
      <c r="E1294" s="26"/>
      <c r="F1294" s="26"/>
      <c r="G1294" s="28"/>
      <c r="H1294" s="26"/>
      <c r="I1294" s="26"/>
      <c r="J1294" s="26"/>
      <c r="K1294" s="34"/>
      <c r="L1294" s="28"/>
      <c r="M1294" s="28"/>
      <c r="N1294" s="26"/>
    </row>
    <row r="1295" spans="1:14">
      <c r="A1295" s="26"/>
      <c r="B1295" s="27"/>
      <c r="C1295" s="26"/>
      <c r="D1295" s="27"/>
      <c r="E1295" s="26"/>
      <c r="F1295" s="26"/>
      <c r="G1295" s="28"/>
      <c r="H1295" s="26"/>
      <c r="I1295" s="26"/>
      <c r="J1295" s="26"/>
      <c r="K1295" s="34"/>
      <c r="L1295" s="28"/>
      <c r="M1295" s="28"/>
      <c r="N1295" s="26"/>
    </row>
    <row r="1296" spans="1:14">
      <c r="A1296" s="26"/>
      <c r="B1296" s="27"/>
      <c r="C1296" s="26"/>
      <c r="D1296" s="27"/>
      <c r="E1296" s="26"/>
      <c r="F1296" s="26"/>
      <c r="G1296" s="28"/>
      <c r="H1296" s="26"/>
      <c r="I1296" s="26"/>
      <c r="J1296" s="26"/>
      <c r="K1296" s="34"/>
      <c r="L1296" s="28"/>
      <c r="M1296" s="28"/>
      <c r="N1296" s="26"/>
    </row>
    <row r="1297" spans="1:14">
      <c r="A1297" s="26"/>
      <c r="B1297" s="27"/>
      <c r="C1297" s="26"/>
      <c r="D1297" s="27"/>
      <c r="E1297" s="26"/>
      <c r="F1297" s="26"/>
      <c r="G1297" s="28"/>
      <c r="H1297" s="26"/>
      <c r="I1297" s="26"/>
      <c r="J1297" s="26"/>
      <c r="K1297" s="34"/>
      <c r="L1297" s="28"/>
      <c r="M1297" s="28"/>
      <c r="N1297" s="26"/>
    </row>
    <row r="1298" spans="1:14">
      <c r="A1298" s="26"/>
      <c r="B1298" s="27"/>
      <c r="C1298" s="26"/>
      <c r="D1298" s="27"/>
      <c r="E1298" s="26"/>
      <c r="F1298" s="26"/>
      <c r="G1298" s="28"/>
      <c r="H1298" s="26"/>
      <c r="I1298" s="26"/>
      <c r="J1298" s="26"/>
      <c r="K1298" s="34"/>
      <c r="L1298" s="28"/>
      <c r="M1298" s="28"/>
      <c r="N1298" s="26"/>
    </row>
    <row r="1299" spans="1:14">
      <c r="A1299" s="26"/>
      <c r="B1299" s="27"/>
      <c r="C1299" s="26"/>
      <c r="D1299" s="27"/>
      <c r="E1299" s="26"/>
      <c r="F1299" s="26"/>
      <c r="G1299" s="28"/>
      <c r="H1299" s="26"/>
      <c r="I1299" s="26"/>
      <c r="J1299" s="26"/>
      <c r="K1299" s="34"/>
      <c r="L1299" s="28"/>
      <c r="M1299" s="28"/>
      <c r="N1299" s="26"/>
    </row>
    <row r="1300" spans="1:14">
      <c r="A1300" s="26"/>
      <c r="B1300" s="27"/>
      <c r="C1300" s="26"/>
      <c r="D1300" s="27"/>
      <c r="E1300" s="26"/>
      <c r="F1300" s="26"/>
      <c r="G1300" s="28"/>
      <c r="H1300" s="26"/>
      <c r="I1300" s="26"/>
      <c r="J1300" s="26"/>
      <c r="K1300" s="34"/>
      <c r="L1300" s="28"/>
      <c r="M1300" s="28"/>
      <c r="N1300" s="26"/>
    </row>
    <row r="1301" spans="1:14">
      <c r="A1301" s="26"/>
      <c r="B1301" s="27"/>
      <c r="C1301" s="26"/>
      <c r="D1301" s="27"/>
      <c r="E1301" s="26"/>
      <c r="F1301" s="26"/>
      <c r="G1301" s="28"/>
      <c r="H1301" s="26"/>
      <c r="I1301" s="26"/>
      <c r="J1301" s="26"/>
      <c r="K1301" s="34"/>
      <c r="L1301" s="28"/>
      <c r="M1301" s="28"/>
      <c r="N1301" s="26"/>
    </row>
    <row r="1302" spans="1:14">
      <c r="A1302" s="26"/>
      <c r="B1302" s="27"/>
      <c r="C1302" s="26"/>
      <c r="D1302" s="27"/>
      <c r="E1302" s="26"/>
      <c r="F1302" s="26"/>
      <c r="G1302" s="28"/>
      <c r="H1302" s="26"/>
      <c r="I1302" s="26"/>
      <c r="J1302" s="26"/>
      <c r="K1302" s="34"/>
      <c r="L1302" s="28"/>
      <c r="M1302" s="28"/>
      <c r="N1302" s="26"/>
    </row>
    <row r="1303" spans="1:14">
      <c r="A1303" s="26"/>
      <c r="B1303" s="27"/>
      <c r="C1303" s="26"/>
      <c r="D1303" s="27"/>
      <c r="E1303" s="26"/>
      <c r="F1303" s="26"/>
      <c r="G1303" s="28"/>
      <c r="H1303" s="26"/>
      <c r="I1303" s="26"/>
      <c r="J1303" s="26"/>
      <c r="K1303" s="34"/>
      <c r="L1303" s="28"/>
      <c r="M1303" s="28"/>
      <c r="N1303" s="26"/>
    </row>
    <row r="1304" spans="1:14">
      <c r="A1304" s="26"/>
      <c r="B1304" s="27"/>
      <c r="C1304" s="26"/>
      <c r="D1304" s="27"/>
      <c r="E1304" s="26"/>
      <c r="F1304" s="26"/>
      <c r="G1304" s="28"/>
      <c r="H1304" s="26"/>
      <c r="I1304" s="26"/>
      <c r="J1304" s="26"/>
      <c r="K1304" s="34"/>
      <c r="L1304" s="28"/>
      <c r="M1304" s="28"/>
      <c r="N1304" s="26"/>
    </row>
    <row r="1305" spans="1:14">
      <c r="A1305" s="26"/>
      <c r="B1305" s="27"/>
      <c r="C1305" s="26"/>
      <c r="D1305" s="27"/>
      <c r="E1305" s="26"/>
      <c r="F1305" s="26"/>
      <c r="G1305" s="28"/>
      <c r="H1305" s="26"/>
      <c r="I1305" s="26"/>
      <c r="J1305" s="26"/>
      <c r="K1305" s="34"/>
      <c r="L1305" s="28"/>
      <c r="M1305" s="28"/>
      <c r="N1305" s="26"/>
    </row>
    <row r="1306" spans="1:14">
      <c r="A1306" s="26"/>
      <c r="B1306" s="27"/>
      <c r="C1306" s="26"/>
      <c r="D1306" s="27"/>
      <c r="E1306" s="26"/>
      <c r="F1306" s="26"/>
      <c r="G1306" s="28"/>
      <c r="H1306" s="26"/>
      <c r="I1306" s="26"/>
      <c r="J1306" s="26"/>
      <c r="K1306" s="34"/>
      <c r="L1306" s="28"/>
      <c r="M1306" s="28"/>
      <c r="N1306" s="26"/>
    </row>
    <row r="1307" spans="1:14">
      <c r="A1307" s="26"/>
      <c r="B1307" s="27"/>
      <c r="C1307" s="26"/>
      <c r="D1307" s="27"/>
      <c r="E1307" s="26"/>
      <c r="F1307" s="26"/>
      <c r="G1307" s="28"/>
      <c r="H1307" s="26"/>
      <c r="I1307" s="26"/>
      <c r="J1307" s="26"/>
      <c r="K1307" s="34"/>
      <c r="L1307" s="28"/>
      <c r="M1307" s="28"/>
      <c r="N1307" s="26"/>
    </row>
    <row r="1308" spans="1:14">
      <c r="A1308" s="26"/>
      <c r="B1308" s="27"/>
      <c r="C1308" s="26"/>
      <c r="D1308" s="27"/>
      <c r="E1308" s="26"/>
      <c r="F1308" s="26"/>
      <c r="G1308" s="28"/>
      <c r="H1308" s="26"/>
      <c r="I1308" s="26"/>
      <c r="J1308" s="26"/>
      <c r="K1308" s="34"/>
      <c r="L1308" s="28"/>
      <c r="M1308" s="28"/>
      <c r="N1308" s="26"/>
    </row>
    <row r="1309" spans="1:14">
      <c r="A1309" s="26"/>
      <c r="B1309" s="27"/>
      <c r="C1309" s="26"/>
      <c r="D1309" s="27"/>
      <c r="E1309" s="26"/>
      <c r="F1309" s="26"/>
      <c r="G1309" s="28"/>
      <c r="H1309" s="26"/>
      <c r="I1309" s="26"/>
      <c r="J1309" s="26"/>
      <c r="K1309" s="34"/>
      <c r="L1309" s="28"/>
      <c r="M1309" s="28"/>
      <c r="N1309" s="26"/>
    </row>
    <row r="1310" spans="1:14">
      <c r="A1310" s="26"/>
      <c r="B1310" s="27"/>
      <c r="C1310" s="26"/>
      <c r="D1310" s="27"/>
      <c r="E1310" s="26"/>
      <c r="F1310" s="26"/>
      <c r="G1310" s="28"/>
      <c r="H1310" s="26"/>
      <c r="I1310" s="26"/>
      <c r="J1310" s="26"/>
      <c r="K1310" s="34"/>
      <c r="L1310" s="28"/>
      <c r="M1310" s="28"/>
      <c r="N1310" s="26"/>
    </row>
    <row r="1311" spans="1:14">
      <c r="A1311" s="26"/>
      <c r="B1311" s="27"/>
      <c r="C1311" s="26"/>
      <c r="D1311" s="27"/>
      <c r="E1311" s="26"/>
      <c r="F1311" s="26"/>
      <c r="G1311" s="28"/>
      <c r="H1311" s="26"/>
      <c r="I1311" s="26"/>
      <c r="J1311" s="26"/>
      <c r="K1311" s="34"/>
      <c r="L1311" s="28"/>
      <c r="M1311" s="28"/>
      <c r="N1311" s="26"/>
    </row>
    <row r="1312" spans="1:14">
      <c r="A1312" s="26"/>
      <c r="B1312" s="27"/>
      <c r="C1312" s="26"/>
      <c r="D1312" s="27"/>
      <c r="E1312" s="26"/>
      <c r="F1312" s="26"/>
      <c r="G1312" s="28"/>
      <c r="H1312" s="26"/>
      <c r="I1312" s="26"/>
      <c r="J1312" s="26"/>
      <c r="K1312" s="34"/>
      <c r="L1312" s="28"/>
      <c r="M1312" s="28"/>
      <c r="N1312" s="26"/>
    </row>
    <row r="1313" spans="1:14">
      <c r="A1313" s="26"/>
      <c r="B1313" s="27"/>
      <c r="C1313" s="26"/>
      <c r="D1313" s="27"/>
      <c r="E1313" s="26"/>
      <c r="F1313" s="26"/>
      <c r="G1313" s="28"/>
      <c r="H1313" s="26"/>
      <c r="I1313" s="26"/>
      <c r="J1313" s="26"/>
      <c r="K1313" s="34"/>
      <c r="L1313" s="28"/>
      <c r="M1313" s="28"/>
      <c r="N1313" s="26"/>
    </row>
    <row r="1314" spans="1:14">
      <c r="A1314" s="26"/>
      <c r="B1314" s="27"/>
      <c r="C1314" s="26"/>
      <c r="D1314" s="27"/>
      <c r="E1314" s="26"/>
      <c r="F1314" s="26"/>
      <c r="G1314" s="28"/>
      <c r="H1314" s="26"/>
      <c r="I1314" s="26"/>
      <c r="J1314" s="26"/>
      <c r="K1314" s="34"/>
      <c r="L1314" s="28"/>
      <c r="M1314" s="28"/>
      <c r="N1314" s="26"/>
    </row>
    <row r="1315" spans="1:14">
      <c r="A1315" s="26"/>
      <c r="B1315" s="27"/>
      <c r="C1315" s="26"/>
      <c r="D1315" s="27"/>
      <c r="E1315" s="26"/>
      <c r="F1315" s="26"/>
      <c r="G1315" s="28"/>
      <c r="H1315" s="26"/>
      <c r="I1315" s="26"/>
      <c r="J1315" s="26"/>
      <c r="K1315" s="34"/>
      <c r="L1315" s="28"/>
      <c r="M1315" s="28"/>
      <c r="N1315" s="26"/>
    </row>
    <row r="1316" spans="1:14">
      <c r="A1316" s="26"/>
      <c r="B1316" s="27"/>
      <c r="C1316" s="26"/>
      <c r="D1316" s="27"/>
      <c r="E1316" s="26"/>
      <c r="F1316" s="26"/>
      <c r="G1316" s="28"/>
      <c r="H1316" s="26"/>
      <c r="I1316" s="26"/>
      <c r="J1316" s="26"/>
      <c r="K1316" s="34"/>
      <c r="L1316" s="28"/>
      <c r="M1316" s="28"/>
      <c r="N1316" s="26"/>
    </row>
    <row r="1317" spans="1:14">
      <c r="A1317" s="26"/>
      <c r="B1317" s="27"/>
      <c r="C1317" s="26"/>
      <c r="D1317" s="27"/>
      <c r="E1317" s="26"/>
      <c r="F1317" s="26"/>
      <c r="G1317" s="28"/>
      <c r="H1317" s="26"/>
      <c r="I1317" s="26"/>
      <c r="J1317" s="26"/>
      <c r="K1317" s="34"/>
      <c r="L1317" s="28"/>
      <c r="M1317" s="28"/>
      <c r="N1317" s="26"/>
    </row>
    <row r="1318" spans="1:14">
      <c r="A1318" s="26"/>
      <c r="B1318" s="27"/>
      <c r="C1318" s="26"/>
      <c r="D1318" s="27"/>
      <c r="E1318" s="26"/>
      <c r="F1318" s="26"/>
      <c r="G1318" s="28"/>
      <c r="H1318" s="26"/>
      <c r="I1318" s="26"/>
      <c r="J1318" s="26"/>
      <c r="K1318" s="34"/>
      <c r="L1318" s="28"/>
      <c r="M1318" s="28"/>
      <c r="N1318" s="26"/>
    </row>
    <row r="1319" spans="1:14">
      <c r="A1319" s="26"/>
      <c r="B1319" s="27"/>
      <c r="C1319" s="26"/>
      <c r="D1319" s="27"/>
      <c r="E1319" s="26"/>
      <c r="F1319" s="26"/>
      <c r="G1319" s="28"/>
      <c r="H1319" s="26"/>
      <c r="I1319" s="26"/>
      <c r="J1319" s="26"/>
      <c r="K1319" s="34"/>
      <c r="L1319" s="28"/>
      <c r="M1319" s="28"/>
      <c r="N1319" s="26"/>
    </row>
    <row r="1320" spans="1:14">
      <c r="A1320" s="26"/>
      <c r="B1320" s="27"/>
      <c r="C1320" s="26"/>
      <c r="D1320" s="27"/>
      <c r="E1320" s="26"/>
      <c r="F1320" s="26"/>
      <c r="G1320" s="28"/>
      <c r="H1320" s="26"/>
      <c r="I1320" s="26"/>
      <c r="J1320" s="26"/>
      <c r="K1320" s="34"/>
      <c r="L1320" s="28"/>
      <c r="M1320" s="28"/>
      <c r="N1320" s="26"/>
    </row>
    <row r="1321" spans="1:14">
      <c r="A1321" s="26"/>
      <c r="B1321" s="27"/>
      <c r="C1321" s="26"/>
      <c r="D1321" s="27"/>
      <c r="E1321" s="26"/>
      <c r="F1321" s="26"/>
      <c r="G1321" s="28"/>
      <c r="H1321" s="26"/>
      <c r="I1321" s="26"/>
      <c r="J1321" s="26"/>
      <c r="K1321" s="34"/>
      <c r="L1321" s="28"/>
      <c r="M1321" s="28"/>
      <c r="N1321" s="26"/>
    </row>
    <row r="1322" spans="1:14">
      <c r="A1322" s="26"/>
      <c r="B1322" s="27"/>
      <c r="C1322" s="26"/>
      <c r="D1322" s="27"/>
      <c r="E1322" s="26"/>
      <c r="F1322" s="26"/>
      <c r="G1322" s="28"/>
      <c r="H1322" s="26"/>
      <c r="I1322" s="26"/>
      <c r="J1322" s="26"/>
      <c r="K1322" s="34"/>
      <c r="L1322" s="28"/>
      <c r="M1322" s="28"/>
      <c r="N1322" s="26"/>
    </row>
    <row r="1323" spans="1:14">
      <c r="A1323" s="26"/>
      <c r="B1323" s="27"/>
      <c r="C1323" s="26"/>
      <c r="D1323" s="27"/>
      <c r="E1323" s="26"/>
      <c r="F1323" s="26"/>
      <c r="G1323" s="28"/>
      <c r="H1323" s="26"/>
      <c r="I1323" s="26"/>
      <c r="J1323" s="26"/>
      <c r="K1323" s="34"/>
      <c r="L1323" s="28"/>
      <c r="M1323" s="28"/>
      <c r="N1323" s="26"/>
    </row>
    <row r="1324" spans="1:14">
      <c r="A1324" s="26"/>
      <c r="B1324" s="27"/>
      <c r="C1324" s="26"/>
      <c r="D1324" s="27"/>
      <c r="E1324" s="26"/>
      <c r="F1324" s="26"/>
      <c r="G1324" s="28"/>
      <c r="H1324" s="26"/>
      <c r="I1324" s="26"/>
      <c r="J1324" s="26"/>
      <c r="K1324" s="34"/>
      <c r="L1324" s="28"/>
      <c r="M1324" s="28"/>
      <c r="N1324" s="26"/>
    </row>
    <row r="1325" spans="1:14">
      <c r="A1325" s="26"/>
      <c r="B1325" s="27"/>
      <c r="C1325" s="26"/>
      <c r="D1325" s="27"/>
      <c r="E1325" s="26"/>
      <c r="F1325" s="26"/>
      <c r="G1325" s="28"/>
      <c r="H1325" s="26"/>
      <c r="I1325" s="26"/>
      <c r="J1325" s="26"/>
      <c r="K1325" s="34"/>
      <c r="L1325" s="28"/>
      <c r="M1325" s="28"/>
      <c r="N1325" s="26"/>
    </row>
    <row r="1326" spans="1:14">
      <c r="A1326" s="26"/>
      <c r="B1326" s="27"/>
      <c r="C1326" s="26"/>
      <c r="D1326" s="27"/>
      <c r="E1326" s="26"/>
      <c r="F1326" s="26"/>
      <c r="G1326" s="28"/>
      <c r="H1326" s="26"/>
      <c r="I1326" s="26"/>
      <c r="J1326" s="26"/>
      <c r="K1326" s="34"/>
      <c r="L1326" s="28"/>
      <c r="M1326" s="28"/>
      <c r="N1326" s="26"/>
    </row>
    <row r="1327" spans="1:14">
      <c r="A1327" s="26"/>
      <c r="B1327" s="27"/>
      <c r="C1327" s="26"/>
      <c r="D1327" s="27"/>
      <c r="E1327" s="26"/>
      <c r="F1327" s="26"/>
      <c r="G1327" s="28"/>
      <c r="H1327" s="26"/>
      <c r="I1327" s="26"/>
      <c r="J1327" s="26"/>
      <c r="K1327" s="34"/>
      <c r="L1327" s="28"/>
      <c r="M1327" s="28"/>
      <c r="N1327" s="26"/>
    </row>
    <row r="1328" spans="1:14">
      <c r="A1328" s="37"/>
      <c r="B1328" s="27"/>
      <c r="C1328" s="37"/>
      <c r="D1328" s="38"/>
      <c r="E1328" s="37"/>
      <c r="F1328" s="37"/>
      <c r="G1328" s="39"/>
      <c r="H1328" s="37"/>
      <c r="I1328" s="37"/>
      <c r="J1328" s="37"/>
      <c r="K1328" s="40"/>
      <c r="L1328" s="39"/>
      <c r="M1328" s="39"/>
      <c r="N1328" s="37"/>
    </row>
    <row r="1329" spans="1:14">
      <c r="A1329" s="26"/>
      <c r="B1329" s="27"/>
      <c r="C1329" s="26"/>
      <c r="D1329" s="27"/>
      <c r="E1329" s="26"/>
      <c r="F1329" s="26"/>
      <c r="G1329" s="28"/>
      <c r="H1329" s="26"/>
      <c r="I1329" s="26"/>
      <c r="J1329" s="26"/>
      <c r="K1329" s="34"/>
      <c r="L1329" s="28"/>
      <c r="M1329" s="28"/>
      <c r="N1329" s="26"/>
    </row>
    <row r="1330" spans="1:14">
      <c r="A1330" s="37"/>
      <c r="B1330" s="38"/>
      <c r="C1330" s="37"/>
      <c r="D1330" s="38"/>
      <c r="E1330" s="37"/>
      <c r="F1330" s="37"/>
      <c r="G1330" s="39"/>
      <c r="H1330" s="37"/>
      <c r="I1330" s="37"/>
      <c r="J1330" s="37"/>
      <c r="K1330" s="40"/>
      <c r="L1330" s="39"/>
      <c r="M1330" s="39"/>
      <c r="N1330" s="37"/>
    </row>
    <row r="1331" spans="1:14">
      <c r="A1331" s="26"/>
      <c r="B1331" s="27"/>
      <c r="C1331" s="26"/>
      <c r="D1331" s="27"/>
      <c r="E1331" s="26"/>
      <c r="F1331" s="26"/>
      <c r="G1331" s="28"/>
      <c r="H1331" s="26"/>
      <c r="I1331" s="26"/>
      <c r="J1331" s="26"/>
      <c r="K1331" s="34"/>
      <c r="L1331" s="28"/>
      <c r="M1331" s="28"/>
      <c r="N1331" s="26"/>
    </row>
    <row r="1332" spans="1:14">
      <c r="A1332" s="26"/>
      <c r="B1332" s="27"/>
      <c r="C1332" s="26"/>
      <c r="D1332" s="27"/>
      <c r="E1332" s="26"/>
      <c r="F1332" s="26"/>
      <c r="G1332" s="28"/>
      <c r="H1332" s="26"/>
      <c r="I1332" s="26"/>
      <c r="J1332" s="26"/>
      <c r="K1332" s="34"/>
      <c r="L1332" s="28"/>
      <c r="M1332" s="28"/>
      <c r="N1332" s="26"/>
    </row>
    <row r="1333" spans="1:14">
      <c r="A1333" s="37"/>
      <c r="B1333" s="38"/>
      <c r="C1333" s="37"/>
      <c r="D1333" s="38"/>
      <c r="E1333" s="37"/>
      <c r="F1333" s="37"/>
      <c r="G1333" s="39"/>
      <c r="H1333" s="37"/>
      <c r="I1333" s="37"/>
      <c r="J1333" s="37"/>
      <c r="K1333" s="40"/>
      <c r="L1333" s="39"/>
      <c r="M1333" s="39"/>
      <c r="N1333" s="37"/>
    </row>
    <row r="1334" spans="1:14">
      <c r="A1334" s="26"/>
      <c r="B1334" s="27"/>
      <c r="C1334" s="26"/>
      <c r="D1334" s="27"/>
      <c r="E1334" s="26"/>
      <c r="F1334" s="26"/>
      <c r="G1334" s="28"/>
      <c r="H1334" s="26"/>
      <c r="I1334" s="26"/>
      <c r="J1334" s="26"/>
      <c r="K1334" s="34"/>
      <c r="L1334" s="28"/>
      <c r="M1334" s="28"/>
      <c r="N1334" s="26"/>
    </row>
    <row r="1335" spans="1:14">
      <c r="A1335" s="37"/>
      <c r="B1335" s="38"/>
      <c r="C1335" s="37"/>
      <c r="D1335" s="38"/>
      <c r="E1335" s="37"/>
      <c r="F1335" s="37"/>
      <c r="G1335" s="39"/>
      <c r="H1335" s="37"/>
      <c r="I1335" s="37"/>
      <c r="J1335" s="37"/>
      <c r="K1335" s="40"/>
      <c r="L1335" s="39"/>
      <c r="M1335" s="39"/>
      <c r="N1335" s="37"/>
    </row>
    <row r="1336" spans="1:14">
      <c r="A1336" s="26"/>
      <c r="B1336" s="27"/>
      <c r="C1336" s="26"/>
      <c r="D1336" s="27"/>
      <c r="E1336" s="26"/>
      <c r="F1336" s="26"/>
      <c r="G1336" s="28"/>
      <c r="H1336" s="26"/>
      <c r="I1336" s="26"/>
      <c r="J1336" s="26"/>
      <c r="K1336" s="34"/>
      <c r="L1336" s="28"/>
      <c r="M1336" s="28"/>
      <c r="N1336" s="26"/>
    </row>
    <row r="1337" spans="1:14">
      <c r="A1337" s="37"/>
      <c r="B1337" s="38"/>
      <c r="C1337" s="37"/>
      <c r="D1337" s="38"/>
      <c r="E1337" s="37"/>
      <c r="F1337" s="37"/>
      <c r="G1337" s="39"/>
      <c r="H1337" s="37"/>
      <c r="I1337" s="37"/>
      <c r="J1337" s="37"/>
      <c r="K1337" s="40"/>
      <c r="L1337" s="39"/>
      <c r="M1337" s="39"/>
      <c r="N1337" s="37"/>
    </row>
    <row r="1338" spans="1:14">
      <c r="A1338" s="26"/>
      <c r="B1338" s="27"/>
      <c r="C1338" s="26"/>
      <c r="D1338" s="27"/>
      <c r="E1338" s="26"/>
      <c r="F1338" s="26"/>
      <c r="G1338" s="28"/>
      <c r="H1338" s="26"/>
      <c r="I1338" s="26"/>
      <c r="J1338" s="26"/>
      <c r="K1338" s="34"/>
      <c r="L1338" s="28"/>
      <c r="M1338" s="28"/>
      <c r="N1338" s="26"/>
    </row>
    <row r="1339" spans="1:14">
      <c r="A1339" s="37"/>
      <c r="B1339" s="38"/>
      <c r="C1339" s="37"/>
      <c r="D1339" s="38"/>
      <c r="E1339" s="37"/>
      <c r="F1339" s="37"/>
      <c r="G1339" s="39"/>
      <c r="H1339" s="37"/>
      <c r="I1339" s="37"/>
      <c r="J1339" s="37"/>
      <c r="K1339" s="40"/>
      <c r="L1339" s="39"/>
      <c r="M1339" s="39"/>
      <c r="N1339" s="37"/>
    </row>
    <row r="1340" spans="1:14">
      <c r="A1340" s="26"/>
      <c r="B1340" s="27"/>
      <c r="C1340" s="26"/>
      <c r="D1340" s="27"/>
      <c r="E1340" s="26"/>
      <c r="F1340" s="26"/>
      <c r="G1340" s="28"/>
      <c r="H1340" s="26"/>
      <c r="I1340" s="26"/>
      <c r="J1340" s="26"/>
      <c r="K1340" s="34"/>
      <c r="L1340" s="28"/>
      <c r="M1340" s="28"/>
      <c r="N1340" s="26"/>
    </row>
    <row r="1341" spans="1:14">
      <c r="A1341" s="37"/>
      <c r="B1341" s="38"/>
      <c r="C1341" s="37"/>
      <c r="D1341" s="38"/>
      <c r="E1341" s="37"/>
      <c r="F1341" s="37"/>
      <c r="G1341" s="39"/>
      <c r="H1341" s="37"/>
      <c r="I1341" s="37"/>
      <c r="J1341" s="37"/>
      <c r="K1341" s="40"/>
      <c r="L1341" s="39"/>
      <c r="M1341" s="39"/>
      <c r="N1341" s="37"/>
    </row>
    <row r="1342" spans="1:14">
      <c r="A1342" s="26"/>
      <c r="B1342" s="27"/>
      <c r="C1342" s="26"/>
      <c r="D1342" s="27"/>
      <c r="E1342" s="26"/>
      <c r="F1342" s="26"/>
      <c r="G1342" s="28"/>
      <c r="H1342" s="26"/>
      <c r="I1342" s="26"/>
      <c r="J1342" s="26"/>
      <c r="K1342" s="34"/>
      <c r="L1342" s="28"/>
      <c r="M1342" s="28"/>
      <c r="N1342" s="26"/>
    </row>
    <row r="1343" spans="1:14">
      <c r="A1343" s="37"/>
      <c r="B1343" s="38"/>
      <c r="C1343" s="37"/>
      <c r="D1343" s="38"/>
      <c r="E1343" s="37"/>
      <c r="F1343" s="37"/>
      <c r="G1343" s="39"/>
      <c r="H1343" s="37"/>
      <c r="I1343" s="37"/>
      <c r="J1343" s="37"/>
      <c r="K1343" s="40"/>
      <c r="L1343" s="39"/>
      <c r="M1343" s="39"/>
      <c r="N1343" s="37"/>
    </row>
    <row r="1344" spans="1:14">
      <c r="A1344" s="26"/>
      <c r="B1344" s="27"/>
      <c r="C1344" s="26"/>
      <c r="D1344" s="27"/>
      <c r="E1344" s="26"/>
      <c r="F1344" s="26"/>
      <c r="G1344" s="28"/>
      <c r="H1344" s="26"/>
      <c r="I1344" s="26"/>
      <c r="J1344" s="26"/>
      <c r="K1344" s="34"/>
      <c r="L1344" s="28"/>
      <c r="M1344" s="28"/>
      <c r="N1344" s="26"/>
    </row>
    <row r="1345" spans="1:14">
      <c r="A1345" s="37"/>
      <c r="B1345" s="38"/>
      <c r="C1345" s="37"/>
      <c r="D1345" s="38"/>
      <c r="E1345" s="37"/>
      <c r="F1345" s="37"/>
      <c r="G1345" s="39"/>
      <c r="H1345" s="37"/>
      <c r="I1345" s="37"/>
      <c r="J1345" s="37"/>
      <c r="K1345" s="40"/>
      <c r="L1345" s="39"/>
      <c r="M1345" s="39"/>
      <c r="N1345" s="37"/>
    </row>
    <row r="1346" spans="1:14">
      <c r="A1346" s="26"/>
      <c r="B1346" s="27"/>
      <c r="C1346" s="26"/>
      <c r="D1346" s="27"/>
      <c r="E1346" s="26"/>
      <c r="F1346" s="26"/>
      <c r="G1346" s="28"/>
      <c r="H1346" s="26"/>
      <c r="I1346" s="26"/>
      <c r="J1346" s="26"/>
      <c r="K1346" s="34"/>
      <c r="L1346" s="28"/>
      <c r="M1346" s="28"/>
      <c r="N1346" s="26"/>
    </row>
    <row r="1347" spans="1:14">
      <c r="A1347" s="37"/>
      <c r="B1347" s="38"/>
      <c r="C1347" s="37"/>
      <c r="D1347" s="38"/>
      <c r="E1347" s="37"/>
      <c r="F1347" s="37"/>
      <c r="G1347" s="39"/>
      <c r="H1347" s="37"/>
      <c r="I1347" s="37"/>
      <c r="J1347" s="37"/>
      <c r="K1347" s="40"/>
      <c r="L1347" s="39"/>
      <c r="M1347" s="39"/>
      <c r="N1347" s="37"/>
    </row>
    <row r="1348" spans="1:14">
      <c r="A1348" s="26"/>
      <c r="B1348" s="27"/>
      <c r="C1348" s="26"/>
      <c r="D1348" s="27"/>
      <c r="E1348" s="26"/>
      <c r="F1348" s="26"/>
      <c r="G1348" s="28"/>
      <c r="H1348" s="26"/>
      <c r="I1348" s="26"/>
      <c r="J1348" s="26"/>
      <c r="K1348" s="34"/>
      <c r="L1348" s="28"/>
      <c r="M1348" s="28"/>
      <c r="N1348" s="26"/>
    </row>
    <row r="1349" spans="1:14">
      <c r="A1349" s="37"/>
      <c r="B1349" s="38"/>
      <c r="C1349" s="37"/>
      <c r="D1349" s="38"/>
      <c r="E1349" s="37"/>
      <c r="F1349" s="37"/>
      <c r="G1349" s="39"/>
      <c r="H1349" s="37"/>
      <c r="I1349" s="37"/>
      <c r="J1349" s="37"/>
      <c r="K1349" s="40"/>
      <c r="L1349" s="39"/>
      <c r="M1349" s="39"/>
      <c r="N1349" s="37"/>
    </row>
    <row r="1350" spans="1:14">
      <c r="A1350" s="26"/>
      <c r="B1350" s="27"/>
      <c r="C1350" s="26"/>
      <c r="D1350" s="27"/>
      <c r="E1350" s="26"/>
      <c r="F1350" s="26"/>
      <c r="G1350" s="28"/>
      <c r="H1350" s="26"/>
      <c r="I1350" s="26"/>
      <c r="J1350" s="26"/>
      <c r="K1350" s="34"/>
      <c r="L1350" s="28"/>
      <c r="M1350" s="28"/>
      <c r="N1350" s="26"/>
    </row>
    <row r="1351" spans="1:14">
      <c r="A1351" s="37"/>
      <c r="B1351" s="38"/>
      <c r="C1351" s="37"/>
      <c r="D1351" s="38"/>
      <c r="E1351" s="37"/>
      <c r="F1351" s="37"/>
      <c r="G1351" s="39"/>
      <c r="H1351" s="37"/>
      <c r="I1351" s="37"/>
      <c r="J1351" s="37"/>
      <c r="K1351" s="40"/>
      <c r="L1351" s="39"/>
      <c r="M1351" s="39"/>
      <c r="N1351" s="37"/>
    </row>
  </sheetData>
  <pageMargins left="0.699305555555556" right="0.699305555555556" top="0.75" bottom="0.75" header="0.3" footer="0.3"/>
  <pageSetup paperSize="9" orientation="portrait" horizontalDpi="180" verticalDpi="18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name="Button 1" r:id="rId3">
              <controlPr print="0" defaultSize="0">
                <anchor moveWithCells="1">
                  <from>
                    <xdr:col>12</xdr:col>
                    <xdr:colOff>76200</xdr:colOff>
                    <xdr:row>2</xdr:row>
                    <xdr:rowOff>0</xdr:rowOff>
                  </from>
                  <to>
                    <xdr:col>14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Q24"/>
  <sheetViews>
    <sheetView workbookViewId="0">
      <selection activeCell="F21" sqref="F21"/>
    </sheetView>
  </sheetViews>
  <sheetFormatPr defaultColWidth="9" defaultRowHeight="15"/>
  <cols>
    <col min="1" max="1" width="28.247619047619" customWidth="1"/>
    <col min="2" max="2" width="11.6285714285714" customWidth="1"/>
    <col min="3" max="3" width="10" customWidth="1"/>
    <col min="4" max="4" width="7.12380952380952" customWidth="1"/>
    <col min="5" max="5" width="5.5047619047619" customWidth="1"/>
    <col min="6" max="6" width="18.1238095238095" customWidth="1"/>
    <col min="7" max="7" width="12.247619047619" customWidth="1"/>
    <col min="8" max="8" width="8.12380952380952" customWidth="1"/>
    <col min="9" max="9" width="17.8761904761905" customWidth="1"/>
    <col min="10" max="10" width="11.3714285714286" customWidth="1"/>
    <col min="11" max="11" width="10.6285714285714" customWidth="1"/>
    <col min="12" max="12" width="2" customWidth="1"/>
    <col min="13" max="13" width="17.247619047619" customWidth="1"/>
    <col min="14" max="14" width="11.6285714285714" customWidth="1"/>
    <col min="15" max="15" width="16.1238095238095" customWidth="1"/>
    <col min="16" max="16" width="12" customWidth="1"/>
  </cols>
  <sheetData>
    <row r="1" spans="1:17">
      <c r="A1" s="1"/>
      <c r="B1" s="1"/>
      <c r="C1" s="1"/>
      <c r="D1" s="1"/>
      <c r="E1" s="2"/>
      <c r="F1" s="1"/>
      <c r="G1" s="1"/>
      <c r="H1" s="1"/>
      <c r="I1" s="1"/>
      <c r="J1" s="1"/>
      <c r="K1" s="1"/>
      <c r="L1" s="1"/>
      <c r="M1" s="1"/>
      <c r="N1" s="2"/>
      <c r="O1" s="1"/>
      <c r="P1" s="1"/>
      <c r="Q1" s="1"/>
    </row>
    <row r="2" ht="39" customHeight="1" spans="1:17">
      <c r="A2" s="3" t="s">
        <v>1225</v>
      </c>
      <c r="B2" s="4" t="s">
        <v>1226</v>
      </c>
      <c r="C2" s="4" t="s">
        <v>1227</v>
      </c>
      <c r="D2" s="4" t="s">
        <v>1228</v>
      </c>
      <c r="E2" s="4" t="s">
        <v>1229</v>
      </c>
      <c r="F2" s="4" t="s">
        <v>1230</v>
      </c>
      <c r="G2" s="4" t="s">
        <v>1231</v>
      </c>
      <c r="H2" s="5" t="s">
        <v>1232</v>
      </c>
      <c r="I2" s="4" t="s">
        <v>1233</v>
      </c>
      <c r="J2" s="4" t="s">
        <v>1231</v>
      </c>
      <c r="K2" s="5" t="s">
        <v>1234</v>
      </c>
      <c r="L2" s="2"/>
      <c r="M2" s="12" t="s">
        <v>1230</v>
      </c>
      <c r="N2" s="13" t="s">
        <v>1235</v>
      </c>
      <c r="O2" s="14" t="s">
        <v>1233</v>
      </c>
      <c r="P2" s="15" t="s">
        <v>1236</v>
      </c>
      <c r="Q2" s="1"/>
    </row>
    <row r="3" ht="18.75" customHeight="1" spans="1:17">
      <c r="A3" s="6" t="s">
        <v>1237</v>
      </c>
      <c r="B3" s="7">
        <v>41726</v>
      </c>
      <c r="C3" s="6" t="s">
        <v>1238</v>
      </c>
      <c r="D3" s="6">
        <v>4500</v>
      </c>
      <c r="E3" s="4">
        <v>1</v>
      </c>
      <c r="F3" s="6" t="s">
        <v>1239</v>
      </c>
      <c r="G3" s="8">
        <v>41893</v>
      </c>
      <c r="H3" s="9">
        <v>2250</v>
      </c>
      <c r="I3" s="6" t="s">
        <v>1240</v>
      </c>
      <c r="J3" s="16"/>
      <c r="K3" s="9"/>
      <c r="L3" s="1"/>
      <c r="M3" s="6" t="s">
        <v>1241</v>
      </c>
      <c r="N3" s="17"/>
      <c r="O3" s="6" t="s">
        <v>1242</v>
      </c>
      <c r="P3" s="17"/>
      <c r="Q3" s="1"/>
    </row>
    <row r="4" ht="18.75" customHeight="1" spans="1:17">
      <c r="A4" s="6" t="s">
        <v>1243</v>
      </c>
      <c r="B4" s="7">
        <v>41760</v>
      </c>
      <c r="C4" s="6" t="s">
        <v>1244</v>
      </c>
      <c r="D4" s="6">
        <v>3600</v>
      </c>
      <c r="E4" s="4">
        <v>1</v>
      </c>
      <c r="F4" s="6" t="s">
        <v>1245</v>
      </c>
      <c r="G4" s="8">
        <v>41795</v>
      </c>
      <c r="H4" s="9">
        <v>1800</v>
      </c>
      <c r="I4" s="6" t="s">
        <v>1246</v>
      </c>
      <c r="J4" s="16"/>
      <c r="K4" s="9"/>
      <c r="L4" s="1"/>
      <c r="M4" s="6" t="s">
        <v>1247</v>
      </c>
      <c r="N4" s="18"/>
      <c r="O4" s="6" t="s">
        <v>1248</v>
      </c>
      <c r="P4" s="18"/>
      <c r="Q4" s="1"/>
    </row>
    <row r="5" ht="18.75" customHeight="1" spans="1:17">
      <c r="A5" s="6" t="s">
        <v>1249</v>
      </c>
      <c r="B5" s="7">
        <v>41713</v>
      </c>
      <c r="C5" s="6" t="s">
        <v>1250</v>
      </c>
      <c r="D5" s="6">
        <v>3600</v>
      </c>
      <c r="E5" s="4">
        <v>1</v>
      </c>
      <c r="F5" s="6" t="s">
        <v>1251</v>
      </c>
      <c r="G5" s="8">
        <v>41869</v>
      </c>
      <c r="H5" s="9">
        <v>1800</v>
      </c>
      <c r="I5" s="6" t="s">
        <v>1252</v>
      </c>
      <c r="J5" s="16"/>
      <c r="K5" s="9"/>
      <c r="L5" s="1"/>
      <c r="M5" s="6" t="s">
        <v>1253</v>
      </c>
      <c r="N5" s="18"/>
      <c r="O5" s="6" t="s">
        <v>1254</v>
      </c>
      <c r="P5" s="18"/>
      <c r="Q5" s="1"/>
    </row>
    <row r="6" ht="18.75" customHeight="1" spans="1:17">
      <c r="A6" s="6" t="s">
        <v>1255</v>
      </c>
      <c r="B6" s="7">
        <v>41718</v>
      </c>
      <c r="C6" s="6" t="s">
        <v>1256</v>
      </c>
      <c r="D6" s="6">
        <v>4000</v>
      </c>
      <c r="E6" s="4">
        <v>1</v>
      </c>
      <c r="F6" s="6" t="s">
        <v>1257</v>
      </c>
      <c r="G6" s="10"/>
      <c r="H6" s="11"/>
      <c r="I6" s="6" t="s">
        <v>1258</v>
      </c>
      <c r="J6" s="19"/>
      <c r="K6" s="11"/>
      <c r="L6" s="1"/>
      <c r="M6" s="6" t="s">
        <v>1259</v>
      </c>
      <c r="N6" s="18"/>
      <c r="O6" s="6" t="s">
        <v>1260</v>
      </c>
      <c r="P6" s="18"/>
      <c r="Q6" s="1"/>
    </row>
    <row r="7" ht="18.75" customHeight="1" spans="1:17">
      <c r="A7" s="6" t="s">
        <v>1261</v>
      </c>
      <c r="B7" s="7">
        <v>41739</v>
      </c>
      <c r="C7" s="6" t="s">
        <v>1262</v>
      </c>
      <c r="D7" s="6">
        <v>7000</v>
      </c>
      <c r="E7" s="4">
        <v>2</v>
      </c>
      <c r="F7" s="6" t="s">
        <v>1263</v>
      </c>
      <c r="G7" s="8">
        <v>41843</v>
      </c>
      <c r="H7" s="9">
        <v>3500</v>
      </c>
      <c r="I7" s="6" t="s">
        <v>1264</v>
      </c>
      <c r="J7" s="16"/>
      <c r="K7" s="9"/>
      <c r="L7" s="1"/>
      <c r="M7" s="6" t="s">
        <v>1265</v>
      </c>
      <c r="N7" s="18"/>
      <c r="O7" s="6" t="s">
        <v>1266</v>
      </c>
      <c r="P7" s="18"/>
      <c r="Q7" s="1"/>
    </row>
    <row r="8" ht="18.75" customHeight="1" spans="1:17">
      <c r="A8" s="6" t="s">
        <v>1267</v>
      </c>
      <c r="B8" s="7">
        <v>41774</v>
      </c>
      <c r="C8" s="6" t="s">
        <v>1268</v>
      </c>
      <c r="D8" s="6">
        <v>6000</v>
      </c>
      <c r="E8" s="4">
        <v>2</v>
      </c>
      <c r="F8" s="6" t="s">
        <v>1269</v>
      </c>
      <c r="G8" s="8">
        <v>41795</v>
      </c>
      <c r="H8" s="9">
        <v>3000</v>
      </c>
      <c r="I8" s="6" t="s">
        <v>1270</v>
      </c>
      <c r="J8" s="16"/>
      <c r="K8" s="9"/>
      <c r="L8" s="1"/>
      <c r="M8" s="6" t="s">
        <v>1271</v>
      </c>
      <c r="N8" s="18"/>
      <c r="O8" s="6" t="s">
        <v>1272</v>
      </c>
      <c r="P8" s="18"/>
      <c r="Q8" s="1"/>
    </row>
    <row r="9" ht="18.75" customHeight="1" spans="1:17">
      <c r="A9" s="6" t="s">
        <v>1273</v>
      </c>
      <c r="B9" s="7">
        <v>41730</v>
      </c>
      <c r="C9" s="6" t="s">
        <v>1274</v>
      </c>
      <c r="D9" s="6">
        <v>3500</v>
      </c>
      <c r="E9" s="4">
        <v>1</v>
      </c>
      <c r="F9" s="6" t="s">
        <v>1275</v>
      </c>
      <c r="G9" s="8">
        <v>41843</v>
      </c>
      <c r="H9" s="9">
        <v>1750</v>
      </c>
      <c r="I9" s="6" t="s">
        <v>1276</v>
      </c>
      <c r="J9" s="16"/>
      <c r="K9" s="9"/>
      <c r="L9" s="1"/>
      <c r="M9" s="6" t="s">
        <v>1277</v>
      </c>
      <c r="N9" s="18"/>
      <c r="O9" s="6" t="s">
        <v>1278</v>
      </c>
      <c r="P9" s="18"/>
      <c r="Q9" s="1"/>
    </row>
    <row r="10" ht="18.75" customHeight="1" spans="1:17">
      <c r="A10" s="6" t="s">
        <v>1279</v>
      </c>
      <c r="B10" s="7">
        <v>41628</v>
      </c>
      <c r="C10" s="6" t="s">
        <v>1280</v>
      </c>
      <c r="D10" s="6">
        <v>8000</v>
      </c>
      <c r="E10" s="4">
        <v>2</v>
      </c>
      <c r="F10" s="6" t="s">
        <v>1281</v>
      </c>
      <c r="G10" s="8">
        <v>41708</v>
      </c>
      <c r="H10" s="9">
        <v>4000</v>
      </c>
      <c r="I10" s="6" t="s">
        <v>1282</v>
      </c>
      <c r="J10" s="16">
        <v>41795</v>
      </c>
      <c r="K10" s="9">
        <v>4000</v>
      </c>
      <c r="L10" s="1"/>
      <c r="M10" s="6" t="s">
        <v>1283</v>
      </c>
      <c r="N10" s="18"/>
      <c r="O10" s="6" t="s">
        <v>1284</v>
      </c>
      <c r="P10" s="18"/>
      <c r="Q10" s="1"/>
    </row>
    <row r="11" ht="18.75" customHeight="1" spans="1:17">
      <c r="A11" s="6" t="s">
        <v>1285</v>
      </c>
      <c r="B11" s="7">
        <v>41640</v>
      </c>
      <c r="C11" s="6" t="s">
        <v>1286</v>
      </c>
      <c r="D11" s="6">
        <v>7000</v>
      </c>
      <c r="E11" s="4">
        <v>2</v>
      </c>
      <c r="F11" s="6" t="s">
        <v>1287</v>
      </c>
      <c r="G11" s="8">
        <v>41744</v>
      </c>
      <c r="H11" s="9">
        <v>3500</v>
      </c>
      <c r="I11" s="6" t="s">
        <v>1288</v>
      </c>
      <c r="J11" s="16">
        <v>41843</v>
      </c>
      <c r="K11" s="9">
        <v>3500</v>
      </c>
      <c r="L11" s="1"/>
      <c r="M11" s="6" t="s">
        <v>1289</v>
      </c>
      <c r="N11" s="18"/>
      <c r="O11" s="6" t="s">
        <v>1290</v>
      </c>
      <c r="P11" s="18"/>
      <c r="Q11" s="1"/>
    </row>
    <row r="12" ht="18.75" customHeight="1" spans="1:17">
      <c r="A12" s="6" t="s">
        <v>1291</v>
      </c>
      <c r="B12" s="7">
        <v>41518</v>
      </c>
      <c r="C12" s="6" t="s">
        <v>1292</v>
      </c>
      <c r="D12" s="6">
        <v>2200</v>
      </c>
      <c r="E12" s="4">
        <v>1</v>
      </c>
      <c r="F12" s="6" t="s">
        <v>1293</v>
      </c>
      <c r="G12" s="8" t="s">
        <v>1294</v>
      </c>
      <c r="H12" s="9"/>
      <c r="I12" s="6" t="s">
        <v>1295</v>
      </c>
      <c r="J12" s="16">
        <v>41795</v>
      </c>
      <c r="K12" s="9">
        <v>1100</v>
      </c>
      <c r="L12" s="1"/>
      <c r="M12" s="6" t="s">
        <v>1296</v>
      </c>
      <c r="N12" s="18"/>
      <c r="O12" s="6" t="s">
        <v>1297</v>
      </c>
      <c r="P12" s="18"/>
      <c r="Q12" s="1"/>
    </row>
    <row r="13" ht="18.75" customHeight="1" spans="1:17">
      <c r="A13" s="6" t="s">
        <v>1298</v>
      </c>
      <c r="B13" s="7">
        <v>41800</v>
      </c>
      <c r="C13" s="6" t="s">
        <v>1299</v>
      </c>
      <c r="D13" s="6">
        <v>47000</v>
      </c>
      <c r="E13" s="4">
        <v>7</v>
      </c>
      <c r="F13" s="6" t="s">
        <v>1300</v>
      </c>
      <c r="G13" s="8">
        <v>41843</v>
      </c>
      <c r="H13" s="9">
        <v>23500</v>
      </c>
      <c r="I13" s="6" t="s">
        <v>1301</v>
      </c>
      <c r="J13" s="16"/>
      <c r="K13" s="9"/>
      <c r="L13" s="1"/>
      <c r="M13" s="6" t="s">
        <v>1302</v>
      </c>
      <c r="N13" s="18"/>
      <c r="O13" s="6" t="s">
        <v>1303</v>
      </c>
      <c r="P13" s="18"/>
      <c r="Q13" s="1"/>
    </row>
    <row r="14" ht="18.75" customHeight="1" spans="1:17">
      <c r="A14" s="6" t="s">
        <v>1304</v>
      </c>
      <c r="B14" s="7">
        <v>41640</v>
      </c>
      <c r="C14" s="6" t="s">
        <v>1286</v>
      </c>
      <c r="D14" s="6">
        <v>8000</v>
      </c>
      <c r="E14" s="4">
        <v>6</v>
      </c>
      <c r="F14" s="6" t="s">
        <v>1287</v>
      </c>
      <c r="G14" s="8">
        <v>41744</v>
      </c>
      <c r="H14" s="9">
        <v>4000</v>
      </c>
      <c r="I14" s="6" t="s">
        <v>1288</v>
      </c>
      <c r="J14" s="16">
        <v>41869</v>
      </c>
      <c r="K14" s="9">
        <v>4000</v>
      </c>
      <c r="L14" s="1"/>
      <c r="M14" s="6" t="s">
        <v>1289</v>
      </c>
      <c r="N14" s="18"/>
      <c r="O14" s="6" t="s">
        <v>1290</v>
      </c>
      <c r="P14" s="18"/>
      <c r="Q14" s="1"/>
    </row>
    <row r="15" ht="18.75" customHeight="1" spans="1:17">
      <c r="A15" s="6" t="s">
        <v>1305</v>
      </c>
      <c r="B15" s="7">
        <v>41579</v>
      </c>
      <c r="C15" s="6" t="s">
        <v>1306</v>
      </c>
      <c r="D15" s="6">
        <v>4500</v>
      </c>
      <c r="E15" s="4">
        <v>1</v>
      </c>
      <c r="F15" s="6" t="s">
        <v>1307</v>
      </c>
      <c r="G15" s="8" t="s">
        <v>1294</v>
      </c>
      <c r="H15" s="9"/>
      <c r="I15" s="6" t="s">
        <v>1245</v>
      </c>
      <c r="J15" s="16">
        <v>41795</v>
      </c>
      <c r="K15" s="9">
        <v>2250</v>
      </c>
      <c r="L15" s="1"/>
      <c r="M15" s="6" t="s">
        <v>1308</v>
      </c>
      <c r="N15" s="18"/>
      <c r="O15" s="6" t="s">
        <v>1247</v>
      </c>
      <c r="P15" s="18"/>
      <c r="Q15" s="1"/>
    </row>
    <row r="16" ht="18.75" customHeight="1" spans="1:17">
      <c r="A16" s="6" t="s">
        <v>1309</v>
      </c>
      <c r="B16" s="7">
        <v>41627</v>
      </c>
      <c r="C16" s="6" t="s">
        <v>1310</v>
      </c>
      <c r="D16" s="6">
        <v>3600</v>
      </c>
      <c r="E16" s="4">
        <v>1</v>
      </c>
      <c r="F16" s="6" t="s">
        <v>1311</v>
      </c>
      <c r="G16" s="8">
        <v>41744</v>
      </c>
      <c r="H16" s="9">
        <v>1800</v>
      </c>
      <c r="I16" s="6" t="s">
        <v>1312</v>
      </c>
      <c r="J16" s="16">
        <v>41869</v>
      </c>
      <c r="K16" s="9">
        <v>1800</v>
      </c>
      <c r="L16" s="1"/>
      <c r="M16" s="6" t="s">
        <v>1313</v>
      </c>
      <c r="N16" s="18"/>
      <c r="O16" s="6" t="s">
        <v>1314</v>
      </c>
      <c r="P16" s="18"/>
      <c r="Q16" s="1"/>
    </row>
    <row r="17" ht="18.75" customHeight="1" spans="1:17">
      <c r="A17" s="6" t="s">
        <v>1315</v>
      </c>
      <c r="B17" s="7">
        <v>41664</v>
      </c>
      <c r="C17" s="6" t="s">
        <v>1316</v>
      </c>
      <c r="D17" s="6">
        <v>9000</v>
      </c>
      <c r="E17" s="4">
        <v>2</v>
      </c>
      <c r="F17" s="6" t="s">
        <v>1317</v>
      </c>
      <c r="G17" s="8">
        <v>41733</v>
      </c>
      <c r="H17" s="9">
        <v>4500</v>
      </c>
      <c r="I17" s="6" t="s">
        <v>1318</v>
      </c>
      <c r="J17" s="16">
        <v>41869</v>
      </c>
      <c r="K17" s="9">
        <v>4500</v>
      </c>
      <c r="L17" s="1"/>
      <c r="M17" s="6" t="s">
        <v>1319</v>
      </c>
      <c r="N17" s="18"/>
      <c r="O17" s="6" t="s">
        <v>1320</v>
      </c>
      <c r="P17" s="18"/>
      <c r="Q17" s="1"/>
    </row>
    <row r="18" ht="18.75" customHeight="1" spans="1:17">
      <c r="A18" s="6" t="s">
        <v>1321</v>
      </c>
      <c r="B18" s="7"/>
      <c r="C18" s="6"/>
      <c r="D18" s="6"/>
      <c r="E18" s="4"/>
      <c r="F18" s="6"/>
      <c r="G18" s="8">
        <v>41848</v>
      </c>
      <c r="H18" s="9">
        <v>10500</v>
      </c>
      <c r="I18" s="6"/>
      <c r="J18" s="16"/>
      <c r="K18" s="9"/>
      <c r="L18" s="1"/>
      <c r="M18" s="6"/>
      <c r="N18" s="18"/>
      <c r="O18" s="6"/>
      <c r="P18" s="18"/>
      <c r="Q18" s="1"/>
    </row>
    <row r="19" ht="18.75" customHeight="1" spans="1:17">
      <c r="A19" s="6"/>
      <c r="B19" s="7"/>
      <c r="C19" s="6"/>
      <c r="D19" s="6">
        <v>121500</v>
      </c>
      <c r="E19" s="4"/>
      <c r="F19" s="6"/>
      <c r="G19" s="7"/>
      <c r="H19" s="6">
        <v>65900</v>
      </c>
      <c r="I19" s="6"/>
      <c r="J19" s="16"/>
      <c r="K19" s="9">
        <v>21150</v>
      </c>
      <c r="L19" s="1"/>
      <c r="M19" s="6"/>
      <c r="N19" s="18"/>
      <c r="O19" s="6"/>
      <c r="P19" s="18"/>
      <c r="Q19" s="1"/>
    </row>
    <row r="20" ht="18.75" customHeight="1" spans="1:17">
      <c r="A20" s="6" t="s">
        <v>1322</v>
      </c>
      <c r="B20" s="7">
        <v>41716</v>
      </c>
      <c r="C20" s="6"/>
      <c r="D20" s="6" t="s">
        <v>1323</v>
      </c>
      <c r="E20" s="4"/>
      <c r="F20" s="6"/>
      <c r="G20" s="7"/>
      <c r="H20" s="6"/>
      <c r="I20" s="6"/>
      <c r="J20" s="16"/>
      <c r="K20" s="9"/>
      <c r="L20" s="1"/>
      <c r="M20" s="6" t="s">
        <v>1324</v>
      </c>
      <c r="N20" s="18"/>
      <c r="O20" s="6"/>
      <c r="P20" s="18"/>
      <c r="Q20" s="1"/>
    </row>
    <row r="21" ht="18.75" customHeight="1" spans="1:17">
      <c r="A21" s="6" t="s">
        <v>1325</v>
      </c>
      <c r="B21" s="7">
        <v>41534</v>
      </c>
      <c r="C21" s="6"/>
      <c r="D21" s="6">
        <v>3000</v>
      </c>
      <c r="E21" s="4">
        <v>1</v>
      </c>
      <c r="F21" s="6" t="s">
        <v>1326</v>
      </c>
      <c r="G21" s="7"/>
      <c r="H21" s="6"/>
      <c r="I21" s="6" t="s">
        <v>1327</v>
      </c>
      <c r="J21" s="16"/>
      <c r="K21" s="9"/>
      <c r="L21" s="1"/>
      <c r="M21" s="6" t="s">
        <v>1328</v>
      </c>
      <c r="N21" s="18"/>
      <c r="O21" s="6" t="s">
        <v>1329</v>
      </c>
      <c r="P21" s="18"/>
      <c r="Q21" s="1"/>
    </row>
    <row r="22" ht="18.75" customHeight="1" spans="1:17">
      <c r="A22" s="6" t="s">
        <v>58</v>
      </c>
      <c r="B22" s="7">
        <v>41638</v>
      </c>
      <c r="C22" s="6"/>
      <c r="D22" s="6" t="s">
        <v>1323</v>
      </c>
      <c r="E22" s="4"/>
      <c r="F22" s="6"/>
      <c r="G22" s="7"/>
      <c r="H22" s="6"/>
      <c r="I22" s="6"/>
      <c r="J22" s="16"/>
      <c r="K22" s="9"/>
      <c r="L22" s="1"/>
      <c r="M22" s="6" t="s">
        <v>1330</v>
      </c>
      <c r="N22" s="18"/>
      <c r="O22" s="3"/>
      <c r="P22" s="3"/>
      <c r="Q22" s="1"/>
    </row>
    <row r="23" ht="18.75" customHeight="1" spans="1:17">
      <c r="A23" s="6"/>
      <c r="B23" s="6"/>
      <c r="C23" s="6"/>
      <c r="D23" s="6"/>
      <c r="E23" s="4"/>
      <c r="F23" s="6"/>
      <c r="G23" s="7"/>
      <c r="H23" s="6"/>
      <c r="I23" s="6"/>
      <c r="J23" s="6"/>
      <c r="K23" s="6"/>
      <c r="L23" s="1"/>
      <c r="M23" s="3"/>
      <c r="N23" s="18"/>
      <c r="O23" s="3"/>
      <c r="P23" s="3"/>
      <c r="Q23" s="1"/>
    </row>
    <row r="24" spans="1:17">
      <c r="A24" s="1"/>
      <c r="B24" s="1"/>
      <c r="C24" s="1"/>
      <c r="D24" s="1"/>
      <c r="E24" s="2"/>
      <c r="F24" s="1"/>
      <c r="G24" s="1"/>
      <c r="H24" s="1"/>
      <c r="I24" s="1"/>
      <c r="J24" s="1"/>
      <c r="K24" s="1"/>
      <c r="L24" s="1"/>
      <c r="M24" s="1"/>
      <c r="N24" s="20"/>
      <c r="O24" s="1"/>
      <c r="P24" s="1"/>
      <c r="Q24" s="1"/>
    </row>
  </sheetData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单位信息</vt:lpstr>
      <vt:lpstr>科目代码</vt:lpstr>
      <vt:lpstr>编制凭证</vt:lpstr>
      <vt:lpstr>凭证库</vt:lpstr>
      <vt:lpstr>资产负债表</vt:lpstr>
      <vt:lpstr>损益表</vt:lpstr>
      <vt:lpstr>总账</vt:lpstr>
      <vt:lpstr>明细分类账</vt:lpstr>
      <vt:lpstr>明细账</vt:lpstr>
      <vt:lpstr>增税明</vt:lpstr>
      <vt:lpstr>数据</vt:lpstr>
      <vt:lpstr>计算税款</vt:lpstr>
      <vt:lpstr>明细账打印</vt:lpstr>
      <vt:lpstr>筛选</vt:lpstr>
      <vt:lpstr>维保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2014-11-10T01:48:00Z</dcterms:created>
  <dcterms:modified xsi:type="dcterms:W3CDTF">2019-05-16T09:14:03Z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1033-11.2.0.8333</vt:lpwstr>
  </property>
</Properties>
</file>

<file path=userCustomization/customUI.xml><?xml version="1.0" encoding="utf-8"?>
<customUI xmlns="http://schemas.microsoft.com/office/2006/01/customui" onLoad="onload4">
  <ribbon startFromScratch="0">
    <tabs>
      <tab id="mytab1" label="�����˲�" insertBeforeMso="TabHome">
        <group id="group1" label="ϵͳ����">
          <dropDown id="drop1" label="�ֱ�" getItemCount="dritecou1" getItemID="driteid1" getItemLabel="dritelab1" onAction="dropts" imageMso="ImportExcel"/>
        </group>
        <group id="group2" label="�ܷ�����">
          <comboBox id="combo15" label=" ��Ŀ" getItemID="combitid15" getItemImage="combitimg15" getItemLabel="combitlab15" getItemCount="combitcou15" imageMso="VisualBasic" onChange="combotss"/>
        </group>
        <group id="group3" label="��ϸ������">
          <comboBox id="combo1" label=" ��ϸ��" getItemID="combitid1" getItemLabel="combitlab1" getItemCount="combitcou1" imageMso="AccessOnlineLists" onChange="combots"/>
        </group>
        <group id="group4" label="��ϸ��">
          <comboBox id="combo18" label=" ��ϸ" getItemID="combitid18" getItemLabel="combitlab18" getItemCount="combitcou18" imageMso="XmlTransformation" onChange="combotsm"/>
        </group>
        <group id="group5" label="���ý���">
          <button id="but1" label="ϵͳ����" size="large" getImage="img1" onAction="ts"/>
          <button id="but3" label="����ƾ֤" size="large" getImage="img2" onAction="ts"/>
          <button id="but5" label="�ʲ���ծ��" size="large" getImage="img3" onAction="ts"/>
          <button id="but6" label="�����" size="large" getImage="img5" onAction="ts"/>
          <button id="but2" label="��Ŀ����" size="large" getImage="img6" onAction="ts"/>
        </group>
      </tab>
    </tabs>
  </ribbon>
</customUI>
</file>